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>
      <c r="A1" s="1" t="inlineStr">
        <is>
          <t>GLOBAL MACRO RISK TRACKER</t>
        </is>
      </c>
    </row>
    <row r="2">
      <c r="A2" s="2" t="inlineStr">
        <is>
          <t>As of 2026-10-14  -  generated 2026-10-14 15:57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  <c r="H4" s="3" t="inlineStr">
        <is>
          <t>Raw level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MEDIAN(1,10,ROUND(H5,0))</f>
        <v/>
      </c>
      <c r="G5" s="4">
        <f>IF(F5&lt;=2,"Low",IF(F5&lt;=4,"Moderate",IF(F5&lt;=6,"Elevated",IF(F5&lt;=8,"High","Severe"))))</f>
        <v/>
      </c>
      <c r="H5" s="4">
        <f>MEDIAN(1,10,D5+E5)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MEDIAN(1,10,ROUND(H6,0))</f>
        <v/>
      </c>
      <c r="G6" s="4">
        <f>IF(F6&lt;=2,"Low",IF(F6&lt;=4,"Moderate",IF(F6&lt;=6,"Elevated",IF(F6&lt;=8,"High","Severe"))))</f>
        <v/>
      </c>
      <c r="H6" s="4">
        <f>MEDIAN(1,10,D6+E6)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MEDIAN(1,10,ROUND(H7,0))</f>
        <v/>
      </c>
      <c r="G7" s="4">
        <f>IF(F7&lt;=2,"Low",IF(F7&lt;=4,"Moderate",IF(F7&lt;=6,"Elevated",IF(F7&lt;=8,"High","Severe"))))</f>
        <v/>
      </c>
      <c r="H7" s="4">
        <f>MEDIAN(1,10,D7+E7)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MEDIAN(1,10,ROUND(H8,0))</f>
        <v/>
      </c>
      <c r="G8" s="4">
        <f>IF(F8&lt;=2,"Low",IF(F8&lt;=4,"Moderate",IF(F8&lt;=6,"Elevated",IF(F8&lt;=8,"High","Severe"))))</f>
        <v/>
      </c>
      <c r="H8" s="4">
        <f>MEDIAN(1,10,D8+E8)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MEDIAN(1,10,ROUND(H9,0))</f>
        <v/>
      </c>
      <c r="G9" s="4">
        <f>IF(F9&lt;=2,"Low",IF(F9&lt;=4,"Moderate",IF(F9&lt;=6,"Elevated",IF(F9&lt;=8,"High","Severe"))))</f>
        <v/>
      </c>
      <c r="H9" s="4">
        <f>MEDIAN(1,10,D9+E9)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MEDIAN(1,10,ROUND(H10,0))</f>
        <v/>
      </c>
      <c r="G10" s="4">
        <f>IF(F10&lt;=2,"Low",IF(F10&lt;=4,"Moderate",IF(F10&lt;=6,"Elevated",IF(F10&lt;=8,"High","Severe"))))</f>
        <v/>
      </c>
      <c r="H10" s="4">
        <f>MEDIAN(1,10,D10+E10)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MEDIAN(1,10,ROUND(H11,0))</f>
        <v/>
      </c>
      <c r="G11" s="4">
        <f>IF(F11&lt;=2,"Low",IF(F11&lt;=4,"Moderate",IF(F11&lt;=6,"Elevated",IF(F11&lt;=8,"High","Severe"))))</f>
        <v/>
      </c>
      <c r="H11" s="4">
        <f>MEDIAN(1,10,D11+E11)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MEDIAN(1,10,ROUND(H12,0))</f>
        <v/>
      </c>
      <c r="G12" s="4">
        <f>IF(F12&lt;=2,"Low",IF(F12&lt;=4,"Moderate",IF(F12&lt;=6,"Elevated",IF(F12&lt;=8,"High","Severe"))))</f>
        <v/>
      </c>
      <c r="H12" s="4">
        <f>MEDIAN(1,10,D12+E12)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MEDIAN(1,10,ROUND(H13,0))</f>
        <v/>
      </c>
      <c r="G13" s="4">
        <f>IF(F13&lt;=2,"Low",IF(F13&lt;=4,"Moderate",IF(F13&lt;=6,"Elevated",IF(F13&lt;=8,"High","Severe"))))</f>
        <v/>
      </c>
      <c r="H13" s="4">
        <f>MEDIAN(1,10,D13+E13)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MEDIAN(1,10,ROUND(H14,0))</f>
        <v/>
      </c>
      <c r="G14" s="4">
        <f>IF(F14&lt;=2,"Low",IF(F14&lt;=4,"Moderate",IF(F14&lt;=6,"Elevated",IF(F14&lt;=8,"High","Severe"))))</f>
        <v/>
      </c>
      <c r="H14" s="4">
        <f>MEDIAN(1,10,D14+E14)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MEDIAN(1,10,ROUND(H15,0))</f>
        <v/>
      </c>
      <c r="G15" s="4">
        <f>IF(F15&lt;=2,"Low",IF(F15&lt;=4,"Moderate",IF(F15&lt;=6,"Elevated",IF(F15&lt;=8,"High","Severe"))))</f>
        <v/>
      </c>
      <c r="H15" s="4">
        <f>MEDIAN(1,10,D15+E15)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MEDIAN(1,10,ROUND(H16,0))</f>
        <v/>
      </c>
      <c r="G16" s="4">
        <f>IF(F16&lt;=2,"Low",IF(F16&lt;=4,"Moderate",IF(F16&lt;=6,"Elevated",IF(F16&lt;=8,"High","Severe"))))</f>
        <v/>
      </c>
      <c r="H16" s="4">
        <f>MEDIAN(1,10,D16+E16)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MEDIAN(1,10,ROUND(H17,0))</f>
        <v/>
      </c>
      <c r="G17" s="4">
        <f>IF(F17&lt;=2,"Low",IF(F17&lt;=4,"Moderate",IF(F17&lt;=6,"Elevated",IF(F17&lt;=8,"High","Severe"))))</f>
        <v/>
      </c>
      <c r="H17" s="4">
        <f>MEDIAN(1,10,D17+E17)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MEDIAN(1,10,ROUND(H18,0))</f>
        <v/>
      </c>
      <c r="G18" s="4">
        <f>IF(F18&lt;=2,"Low",IF(F18&lt;=4,"Moderate",IF(F18&lt;=6,"Elevated",IF(F18&lt;=8,"High","Severe"))))</f>
        <v/>
      </c>
      <c r="H18" s="4">
        <f>MEDIAN(1,10,D18+E18)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MEDIAN(1,10,ROUND(H19,0))</f>
        <v/>
      </c>
      <c r="G19" s="4">
        <f>IF(F19&lt;=2,"Low",IF(F19&lt;=4,"Moderate",IF(F19&lt;=6,"Elevated",IF(F19&lt;=8,"High","Severe"))))</f>
        <v/>
      </c>
      <c r="H19" s="4">
        <f>MEDIAN(1,10,D19+E19)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MEDIAN(1,10,ROUND(H20,0))</f>
        <v/>
      </c>
      <c r="G20" s="4">
        <f>IF(F20&lt;=2,"Low",IF(F20&lt;=4,"Moderate",IF(F20&lt;=6,"Elevated",IF(F20&lt;=8,"High","Severe"))))</f>
        <v/>
      </c>
      <c r="H20" s="4">
        <f>MEDIAN(1,10,D20+E20)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MEDIAN(1,10,ROUND(H21,0))</f>
        <v/>
      </c>
      <c r="G21" s="4">
        <f>IF(F21&lt;=2,"Low",IF(F21&lt;=4,"Moderate",IF(F21&lt;=6,"Elevated",IF(F21&lt;=8,"High","Severe"))))</f>
        <v/>
      </c>
      <c r="H21" s="4">
        <f>MEDIAN(1,10,D21+E21)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MEDIAN(1,10,ROUND(H22,0))</f>
        <v/>
      </c>
      <c r="G22" s="4">
        <f>IF(F22&lt;=2,"Low",IF(F22&lt;=4,"Moderate",IF(F22&lt;=6,"Elevated",IF(F22&lt;=8,"High","Severe"))))</f>
        <v/>
      </c>
      <c r="H22" s="4">
        <f>MEDIAN(1,10,D22+E22)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MEDIAN(1,10,ROUND(H23,0))</f>
        <v/>
      </c>
      <c r="G23" s="4">
        <f>IF(F23&lt;=2,"Low",IF(F23&lt;=4,"Moderate",IF(F23&lt;=6,"Elevated",IF(F23&lt;=8,"High","Severe"))))</f>
        <v/>
      </c>
      <c r="H23" s="4">
        <f>MEDIAN(1,10,D23+E23)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MEDIAN(1,10,ROUND(H24,0))</f>
        <v/>
      </c>
      <c r="G24" s="4">
        <f>IF(F24&lt;=2,"Low",IF(F24&lt;=4,"Moderate",IF(F24&lt;=6,"Elevated",IF(F24&lt;=8,"High","Severe"))))</f>
        <v/>
      </c>
      <c r="H24" s="4">
        <f>MEDIAN(1,10,D24+E24)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MEDIAN(1,10,ROUND(H25,0))</f>
        <v/>
      </c>
      <c r="G25" s="4">
        <f>IF(F25&lt;=2,"Low",IF(F25&lt;=4,"Moderate",IF(F25&lt;=6,"Elevated",IF(F25&lt;=8,"High","Severe"))))</f>
        <v/>
      </c>
      <c r="H25" s="4">
        <f>MEDIAN(1,10,D25+E25)</f>
        <v/>
      </c>
    </row>
    <row r="27">
      <c r="A27" s="6" t="inlineStr">
        <is>
          <t>Aggregate - Funding &amp; Leverage</t>
        </is>
      </c>
      <c r="F27" s="6">
        <f>ROUND(AVERAGEIF($C$5:$C$25,1,$H$5:$H$25),1)</f>
        <v/>
      </c>
    </row>
    <row r="28">
      <c r="A28" s="6" t="inlineStr">
        <is>
          <t>Aggregate - Credit, Consumers &amp; Valuations</t>
        </is>
      </c>
      <c r="F28" s="6">
        <f>ROUND(AVERAGEIF($C$5:$C$25,2,$H$5:$H$25),1)</f>
        <v/>
      </c>
    </row>
    <row r="29">
      <c r="A29" s="6" t="inlineStr">
        <is>
          <t>Aggregate - Sovereigns &amp; the Monetary Order</t>
        </is>
      </c>
      <c r="F29" s="6">
        <f>ROUND(AVERAGEIF($C$5:$C$25,3,$H$5:$H$25),1)</f>
        <v/>
      </c>
    </row>
    <row r="30">
      <c r="A30" s="6" t="inlineStr">
        <is>
          <t>Aggregate - Geoeconomics &amp; Trade Weapons</t>
        </is>
      </c>
      <c r="F30" s="6">
        <f>ROUND(AVERAGEIF($C$5:$C$25,4,$H$5:$H$25),1)</f>
        <v/>
      </c>
    </row>
    <row r="31">
      <c r="A31" s="6" t="inlineStr">
        <is>
          <t>Aggregate - Physical &amp; Resource Limits</t>
        </is>
      </c>
      <c r="F31" s="6">
        <f>ROUND(AVERAGEIF($C$5:$C$25,5,$H$5:$H$25),1)</f>
        <v/>
      </c>
    </row>
    <row r="32">
      <c r="A32" s="6" t="inlineStr">
        <is>
          <t>Aggregate - Overall</t>
        </is>
      </c>
      <c r="F32" s="6">
        <f>ROUND(MEDIAN(1,10,0.5*AVERAGE($H$5:$H$25)+0.5*AVERAGE(LARGE($H$5:$H$25,{1,2,3,4,5,6,7}))+MIN(1.5,MAX(0,0.3*((SUMPRODUCT(($H$5:$H$25-6&gt;0)*($H$5:$H$25-6&lt;1)*($H$5:$H$25-6))+COUNTIF($H$5:$H$25,"&gt;=7"))-2)))),1)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99.9363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158.795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4.064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3.16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121.6023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2.91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IF(ABS(D14-(0.0))&lt;=F14,0,IF(ABS(D14-(0.0))&lt;=G14,1,2))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6.6867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0.07000000000000001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309.8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0.83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4107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6.665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94.98999999999999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16.15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99.9363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2026-08-07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2026-08-07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2026-08-07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2026-08-07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2026-08-07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2026-08-07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2026-08-07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2026-08-07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2026-08-07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2026-08-07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2026-08-07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2026-08-07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2026-08-07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2026-08-10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2026-08-10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7</t>
        </is>
      </c>
      <c r="F16" s="9" t="inlineStr">
        <is>
          <t>High</t>
        </is>
      </c>
      <c r="G16" s="9" t="inlineStr">
        <is>
          <t>7.0</t>
        </is>
      </c>
      <c r="H16" s="9" t="inlineStr">
        <is>
          <t>2.0</t>
        </is>
      </c>
    </row>
    <row r="17">
      <c r="A17" s="9" t="inlineStr">
        <is>
          <t>2026-08-10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2026-08-10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5.5</t>
        </is>
      </c>
      <c r="H18" s="9" t="inlineStr">
        <is>
          <t>2.0</t>
        </is>
      </c>
    </row>
    <row r="19">
      <c r="A19" s="9" t="inlineStr">
        <is>
          <t>2026-08-10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6</t>
        </is>
      </c>
      <c r="F19" s="9" t="inlineStr">
        <is>
          <t>Elevated</t>
        </is>
      </c>
      <c r="G19" s="9" t="inlineStr">
        <is>
          <t>6.5</t>
        </is>
      </c>
      <c r="H19" s="9" t="inlineStr">
        <is>
          <t>2.0</t>
        </is>
      </c>
    </row>
    <row r="20">
      <c r="A20" s="9" t="inlineStr">
        <is>
          <t>2026-08-10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2026-08-10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2026-08-10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2026-08-10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6</t>
        </is>
      </c>
      <c r="F23" s="9" t="inlineStr">
        <is>
          <t>Elevated</t>
        </is>
      </c>
      <c r="G23" s="9" t="inlineStr">
        <is>
          <t>5.75</t>
        </is>
      </c>
      <c r="H23" s="9" t="inlineStr">
        <is>
          <t>2.0</t>
        </is>
      </c>
    </row>
    <row r="24">
      <c r="A24" s="9" t="inlineStr">
        <is>
          <t>2026-08-10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2026-08-10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2026-08-10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2026-08-10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2026-08-10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2026-08-10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2026-08-10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2026-08-10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5.25</t>
        </is>
      </c>
      <c r="H31" s="9" t="inlineStr">
        <is>
          <t>2.0</t>
        </is>
      </c>
    </row>
    <row r="32">
      <c r="A32" s="9" t="inlineStr">
        <is>
          <t>2026-08-10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2026-08-10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2026-08-10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6.0</t>
        </is>
      </c>
      <c r="H34" s="9" t="inlineStr">
        <is>
          <t>2.0</t>
        </is>
      </c>
    </row>
    <row r="35">
      <c r="A35" s="9" t="inlineStr">
        <is>
          <t>2026-08-10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2026-08-11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2026-08-11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2026-08-11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2026-08-11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2026-08-11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2026-08-11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2026-08-11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2026-08-11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2026-08-11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  <c r="H44" s="9" t="inlineStr">
        <is>
          <t>2.0</t>
        </is>
      </c>
    </row>
    <row r="45">
      <c r="A45" s="9" t="inlineStr">
        <is>
          <t>2026-08-11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2026-08-11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2026-08-11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2026-08-11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2026-08-11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2026-08-11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2026-08-11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2026-08-11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2026-08-11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2026-08-11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2026-08-11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6.5</t>
        </is>
      </c>
      <c r="H55" s="9" t="inlineStr">
        <is>
          <t>2.0</t>
        </is>
      </c>
    </row>
    <row r="56">
      <c r="A56" s="9" t="inlineStr">
        <is>
          <t>2026-08-11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2026-08-12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2026-08-12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2026-08-12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2026-08-12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2026-08-12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2026-08-12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2026-08-12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2026-08-12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2026-08-12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  <c r="H65" s="9" t="inlineStr">
        <is>
          <t>2.0</t>
        </is>
      </c>
    </row>
    <row r="66">
      <c r="A66" s="9" t="inlineStr">
        <is>
          <t>2026-08-12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2026-08-12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2026-08-12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2026-08-12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2026-08-12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2026-08-12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2026-08-12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2026-08-12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2026-08-12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2026-08-12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2026-08-12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2026-08-12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2026-08-13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2026-08-13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2026-08-13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2026-08-13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2026-08-13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2026-08-13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2026-08-13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2026-08-13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2026-08-13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  <c r="H86" s="9" t="inlineStr">
        <is>
          <t>2.0</t>
        </is>
      </c>
    </row>
    <row r="87">
      <c r="A87" s="9" t="inlineStr">
        <is>
          <t>2026-08-13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2026-08-13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2026-08-13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2026-08-13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2026-08-13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2026-08-13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2026-08-13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2026-08-13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2026-08-13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2026-08-13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2026-08-13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2026-08-13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2026-08-14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2026-08-14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2026-08-14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2026-08-14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2026-08-14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2026-08-14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2026-08-14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2026-08-14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2026-08-14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  <c r="H107" s="9" t="inlineStr">
        <is>
          <t>2.0</t>
        </is>
      </c>
    </row>
    <row r="108">
      <c r="A108" s="9" t="inlineStr">
        <is>
          <t>2026-08-14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2026-08-14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2026-08-14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2026-08-14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2026-08-14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2026-08-14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2026-08-14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2026-08-14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2026-08-14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2026-08-14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2026-08-14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2026-08-14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2026-08-17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2026-08-17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2026-08-17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2026-08-17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2026-08-17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2026-08-17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6</t>
        </is>
      </c>
      <c r="F125" s="9" t="inlineStr">
        <is>
          <t>Elevated</t>
        </is>
      </c>
      <c r="G125" s="9" t="inlineStr">
        <is>
          <t>6.5</t>
        </is>
      </c>
      <c r="H125" s="9" t="inlineStr">
        <is>
          <t>2.0</t>
        </is>
      </c>
    </row>
    <row r="126">
      <c r="A126" s="9" t="inlineStr">
        <is>
          <t>2026-08-17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2026-08-17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2026-08-17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5</t>
        </is>
      </c>
      <c r="F128" s="9" t="inlineStr">
        <is>
          <t>Elevated</t>
        </is>
      </c>
      <c r="G128" s="9" t="inlineStr">
        <is>
          <t>5.25</t>
        </is>
      </c>
      <c r="H128" s="9" t="inlineStr">
        <is>
          <t>2.0</t>
        </is>
      </c>
    </row>
    <row r="129">
      <c r="A129" s="9" t="inlineStr">
        <is>
          <t>2026-08-17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2026-08-17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2026-08-17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2026-08-17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2026-08-17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2026-08-17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2026-08-17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5</t>
        </is>
      </c>
      <c r="F135" s="9" t="inlineStr">
        <is>
          <t>Elevated</t>
        </is>
      </c>
      <c r="G135" s="9" t="inlineStr">
        <is>
          <t>4.75</t>
        </is>
      </c>
      <c r="H135" s="9" t="inlineStr">
        <is>
          <t>2.0</t>
        </is>
      </c>
    </row>
    <row r="136">
      <c r="A136" s="9" t="inlineStr">
        <is>
          <t>2026-08-17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4.75</t>
        </is>
      </c>
      <c r="H136" s="9" t="inlineStr">
        <is>
          <t>2.0</t>
        </is>
      </c>
    </row>
    <row r="137">
      <c r="A137" s="9" t="inlineStr">
        <is>
          <t>2026-08-17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2026-08-17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2026-08-17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7</t>
        </is>
      </c>
      <c r="F139" s="9" t="inlineStr">
        <is>
          <t>High</t>
        </is>
      </c>
      <c r="G139" s="9" t="inlineStr">
        <is>
          <t>7.0</t>
        </is>
      </c>
      <c r="H139" s="9" t="inlineStr">
        <is>
          <t>2.0</t>
        </is>
      </c>
    </row>
    <row r="140">
      <c r="A140" s="9" t="inlineStr">
        <is>
          <t>2026-08-17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2026-08-18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2026-08-18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2026-08-18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2026-08-18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2026-08-18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2026-08-18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6</t>
        </is>
      </c>
      <c r="F146" s="9" t="inlineStr">
        <is>
          <t>Elevated</t>
        </is>
      </c>
      <c r="G146" s="9" t="inlineStr">
        <is>
          <t>6.5</t>
        </is>
      </c>
      <c r="H146" s="9" t="inlineStr">
        <is>
          <t>2.0</t>
        </is>
      </c>
    </row>
    <row r="147">
      <c r="A147" s="9" t="inlineStr">
        <is>
          <t>2026-08-18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2026-08-18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2026-08-18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2026-08-18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2026-08-18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2026-08-18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2026-08-18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2026-08-18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2026-08-18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2026-08-18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2026-08-18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4.75</t>
        </is>
      </c>
      <c r="H157" s="9" t="inlineStr">
        <is>
          <t>2.0</t>
        </is>
      </c>
    </row>
    <row r="158">
      <c r="A158" s="9" t="inlineStr">
        <is>
          <t>2026-08-18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2026-08-18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2026-08-18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2026-08-18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2026-08-19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2026-08-19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2026-08-19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2026-08-19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2026-08-19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2026-08-19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6.5</t>
        </is>
      </c>
      <c r="H167" s="9" t="inlineStr">
        <is>
          <t>2.0</t>
        </is>
      </c>
    </row>
    <row r="168">
      <c r="A168" s="9" t="inlineStr">
        <is>
          <t>2026-08-19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2026-08-19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2026-08-19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2026-08-19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2026-08-19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2026-08-19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2026-08-19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2026-08-19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2026-08-19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2026-08-19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2026-08-19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4.75</t>
        </is>
      </c>
      <c r="H178" s="9" t="inlineStr">
        <is>
          <t>2.0</t>
        </is>
      </c>
    </row>
    <row r="179">
      <c r="A179" s="9" t="inlineStr">
        <is>
          <t>2026-08-19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2026-08-19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2026-08-19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2026-08-19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2026-08-20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2026-08-20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2026-08-20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2026-08-20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2026-08-20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2026-08-20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6.5</t>
        </is>
      </c>
      <c r="H188" s="9" t="inlineStr">
        <is>
          <t>2.0</t>
        </is>
      </c>
    </row>
    <row r="189">
      <c r="A189" s="9" t="inlineStr">
        <is>
          <t>2026-08-20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2026-08-20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2026-08-20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2026-08-20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2026-08-20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2026-08-20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3.25</t>
        </is>
      </c>
      <c r="H194" s="9" t="inlineStr">
        <is>
          <t>2.0</t>
        </is>
      </c>
    </row>
    <row r="195">
      <c r="A195" s="9" t="inlineStr">
        <is>
          <t>2026-08-20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2026-08-20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2026-08-20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2026-08-20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2026-08-20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4.75</t>
        </is>
      </c>
      <c r="H199" s="9" t="inlineStr">
        <is>
          <t>2.0</t>
        </is>
      </c>
    </row>
    <row r="200">
      <c r="A200" s="9" t="inlineStr">
        <is>
          <t>2026-08-20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2026-08-20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2026-08-20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2026-08-20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2026-08-21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2026-08-21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2026-08-21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2026-08-21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2026-08-21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2026-08-21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6.5</t>
        </is>
      </c>
      <c r="H209" s="9" t="inlineStr">
        <is>
          <t>2.0</t>
        </is>
      </c>
    </row>
    <row r="210">
      <c r="A210" s="9" t="inlineStr">
        <is>
          <t>2026-08-21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2026-08-21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2026-08-21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2026-08-21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2026-08-21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2026-08-21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2026-08-21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2026-08-21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2026-08-21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2026-08-21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2026-08-21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4.75</t>
        </is>
      </c>
      <c r="H220" s="9" t="inlineStr">
        <is>
          <t>2.0</t>
        </is>
      </c>
    </row>
    <row r="221">
      <c r="A221" s="9" t="inlineStr">
        <is>
          <t>2026-08-21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2026-08-21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2026-08-21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2026-08-21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2026-08-24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2026-08-24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2026-08-24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2026-08-24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2026-08-24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2026-08-24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7</t>
        </is>
      </c>
      <c r="F230" s="9" t="inlineStr">
        <is>
          <t>High</t>
        </is>
      </c>
      <c r="G230" s="9" t="inlineStr">
        <is>
          <t>6.75</t>
        </is>
      </c>
      <c r="H230" s="9" t="inlineStr">
        <is>
          <t>2.0</t>
        </is>
      </c>
    </row>
    <row r="231">
      <c r="A231" s="9" t="inlineStr">
        <is>
          <t>2026-08-24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2026-08-24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2026-08-24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2026-08-24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2026-08-24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2026-08-24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2026-08-24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2026-08-24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2026-08-24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2026-08-24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2026-08-24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5.25</t>
        </is>
      </c>
      <c r="H241" s="9" t="inlineStr">
        <is>
          <t>2.0</t>
        </is>
      </c>
    </row>
    <row r="242">
      <c r="A242" s="9" t="inlineStr">
        <is>
          <t>2026-08-24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2026-08-24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2026-08-24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6.75</t>
        </is>
      </c>
      <c r="H244" s="9" t="inlineStr">
        <is>
          <t>2.0</t>
        </is>
      </c>
    </row>
    <row r="245">
      <c r="A245" s="9" t="inlineStr">
        <is>
          <t>2026-08-24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2026-08-25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2026-08-25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2026-08-25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2026-08-25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2026-08-25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2026-08-25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2026-08-25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2026-08-25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2026-08-25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2026-08-25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2026-08-25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2026-08-25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2026-08-25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2026-08-25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2026-08-25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2026-08-25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2026-08-25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2026-08-25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2026-08-25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2026-08-25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2026-08-25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2026-08-26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2026-08-26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2026-08-26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2026-08-26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2026-08-26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2026-08-26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2026-08-26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2026-08-26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2026-08-26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2026-08-26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2026-08-26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2026-08-26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2026-08-26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2026-08-26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2026-08-26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2026-08-26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2026-08-26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2026-08-26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2026-08-26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2026-08-26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2026-08-26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2026-08-27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2026-08-27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2026-08-27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2026-08-27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2026-08-27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2026-08-27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2026-08-27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2026-08-27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2026-08-27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2026-08-27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2026-08-27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2026-08-27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2026-08-27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2026-08-27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2026-08-27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2026-08-27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2026-08-27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2026-08-27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2026-08-27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2026-08-27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2026-08-27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2026-08-28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2026-08-28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2026-08-28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2026-08-28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2026-08-28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2026-08-28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2026-08-28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2026-08-28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2026-08-28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2026-08-28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2026-08-28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2026-08-28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2026-08-28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2026-08-28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2026-08-28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2026-08-28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2026-08-28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2026-08-28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2026-08-28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2026-08-28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2026-08-28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2026-08-31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2026-08-31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2026-08-31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2026-08-31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6.0</t>
        </is>
      </c>
      <c r="H333" s="9" t="inlineStr">
        <is>
          <t>2.0</t>
        </is>
      </c>
    </row>
    <row r="334">
      <c r="A334" s="9" t="inlineStr">
        <is>
          <t>2026-08-31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2026-08-31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2026-08-31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2026-08-31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2026-08-31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2026-08-31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2026-08-31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2026-08-31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3.0</t>
        </is>
      </c>
      <c r="H341" s="9" t="inlineStr">
        <is>
          <t>2.0</t>
        </is>
      </c>
    </row>
    <row r="342">
      <c r="A342" s="9" t="inlineStr">
        <is>
          <t>2026-08-31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2026-08-31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2026-08-31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2026-08-31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4</t>
        </is>
      </c>
      <c r="F345" s="9" t="inlineStr">
        <is>
          <t>Moderate</t>
        </is>
      </c>
      <c r="G345" s="9" t="inlineStr">
        <is>
          <t>4.5</t>
        </is>
      </c>
      <c r="H345" s="9" t="inlineStr">
        <is>
          <t>2.0</t>
        </is>
      </c>
    </row>
    <row r="346">
      <c r="A346" s="9" t="inlineStr">
        <is>
          <t>2026-08-31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5.0</t>
        </is>
      </c>
      <c r="H346" s="9" t="inlineStr">
        <is>
          <t>2.0</t>
        </is>
      </c>
    </row>
    <row r="347">
      <c r="A347" s="9" t="inlineStr">
        <is>
          <t>2026-08-31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2026-08-31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2026-08-31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2026-08-31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2026-09-01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2026-09-01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2026-09-01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2026-09-01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2026-09-01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2026-09-01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2026-09-01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2026-09-01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2026-09-01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2026-09-01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2026-09-01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2026-09-01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2026-09-01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2026-09-01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2026-09-01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2026-09-01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2026-09-01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2026-09-01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2026-09-01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2026-09-01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2026-09-01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2026-09-02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2026-09-02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2026-09-02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2026-09-02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2026-09-02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2026-09-02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2026-09-02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2026-09-02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2026-09-02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2026-09-02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2026-09-02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2026-09-02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2026-09-02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2026-09-02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2026-09-02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2026-09-02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2026-09-02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2026-09-02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2026-09-02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2026-09-02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2026-09-02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2026-09-03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2026-09-03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2026-09-03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2026-09-03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2026-09-03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2026-09-03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2026-09-03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2026-09-03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2026-09-03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2026-09-03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2026-09-03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2026-09-03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3.25</t>
        </is>
      </c>
      <c r="H404" s="9" t="inlineStr">
        <is>
          <t>2.0</t>
        </is>
      </c>
    </row>
    <row r="405">
      <c r="A405" s="9" t="inlineStr">
        <is>
          <t>2026-09-03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2026-09-03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2026-09-03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2026-09-03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2026-09-03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2026-09-03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2026-09-03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2026-09-03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2026-09-03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2026-09-04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2026-09-04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2026-09-04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2026-09-04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2026-09-04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2026-09-04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2026-09-04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2026-09-04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2026-09-04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2026-09-04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2026-09-04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2026-09-04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3.0</t>
        </is>
      </c>
      <c r="H425" s="9" t="inlineStr">
        <is>
          <t>2.0</t>
        </is>
      </c>
    </row>
    <row r="426">
      <c r="A426" s="9" t="inlineStr">
        <is>
          <t>2026-09-04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2026-09-04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2026-09-04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2026-09-04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2026-09-04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2026-09-04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2026-09-04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2026-09-04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2026-09-04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2026-09-07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2026-09-07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2026-09-07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2026-09-07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5.5</t>
        </is>
      </c>
      <c r="H438" s="9" t="inlineStr">
        <is>
          <t>2.0</t>
        </is>
      </c>
    </row>
    <row r="439">
      <c r="A439" s="9" t="inlineStr">
        <is>
          <t>2026-09-07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2026-09-07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2026-09-07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2026-09-07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2026-09-07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2026-09-07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2026-09-07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2026-09-07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2026-09-07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2026-09-07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2026-09-07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2026-09-07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2026-09-07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5.25</t>
        </is>
      </c>
      <c r="H451" s="9" t="inlineStr">
        <is>
          <t>2.0</t>
        </is>
      </c>
    </row>
    <row r="452">
      <c r="A452" s="9" t="inlineStr">
        <is>
          <t>2026-09-07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7</t>
        </is>
      </c>
      <c r="F452" s="9" t="inlineStr">
        <is>
          <t>High</t>
        </is>
      </c>
      <c r="G452" s="9" t="inlineStr">
        <is>
          <t>7.0</t>
        </is>
      </c>
      <c r="H452" s="9" t="inlineStr">
        <is>
          <t>2.0</t>
        </is>
      </c>
    </row>
    <row r="453">
      <c r="A453" s="9" t="inlineStr">
        <is>
          <t>2026-09-07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2026-09-07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7.25</t>
        </is>
      </c>
      <c r="H454" s="9" t="inlineStr">
        <is>
          <t>2.0</t>
        </is>
      </c>
    </row>
    <row r="455">
      <c r="A455" s="9" t="inlineStr">
        <is>
          <t>2026-09-07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2026-09-08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2026-09-08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2026-09-08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2026-09-08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2026-09-08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2026-09-08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2026-09-08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2026-09-08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2026-09-08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2026-09-08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2026-09-08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2026-09-08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2026-09-08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2026-09-08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2026-09-08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2026-09-08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2026-09-08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2026-09-08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2026-09-08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2026-09-08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2026-09-08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2026-09-09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2026-09-09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2026-09-09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2026-09-09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2026-09-09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2026-09-09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2026-09-09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2026-09-09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2026-09-09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2026-09-09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2026-09-09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2026-09-09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2026-09-09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2026-09-09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2026-09-09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2026-09-09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2026-09-09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2026-09-09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2026-09-09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2026-09-09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2026-09-09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2026-09-10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2026-09-10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2026-09-10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2026-09-10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2026-09-10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2026-09-10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2026-09-10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2026-09-10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2026-09-10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2026-09-10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2026-09-10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2026-09-10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2026-09-10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2026-09-10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2026-09-10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2026-09-10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2026-09-10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2026-09-10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2026-09-10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2026-09-10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2026-09-10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2026-09-11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2026-09-11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2026-09-11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2026-09-11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2026-09-11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2026-09-11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2026-09-11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2026-09-11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2026-09-11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2026-09-11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2026-09-11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2026-09-11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2026-09-11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2026-09-11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2026-09-11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2026-09-11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2026-09-11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2026-09-11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2026-09-11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2026-09-11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2026-09-11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2026-09-14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2026-09-14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2026-09-14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2026-09-14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2026-09-14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2026-09-14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2026-09-14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2026-09-14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2026-09-14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4</t>
        </is>
      </c>
      <c r="F548" s="9" t="inlineStr">
        <is>
          <t>Moderate</t>
        </is>
      </c>
      <c r="G548" s="9" t="inlineStr">
        <is>
          <t>4.5</t>
        </is>
      </c>
      <c r="H548" s="9" t="inlineStr">
        <is>
          <t>2.0</t>
        </is>
      </c>
    </row>
    <row r="549">
      <c r="A549" s="9" t="inlineStr">
        <is>
          <t>2026-09-14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2026-09-14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2026-09-14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2026-09-14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2026-09-14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2026-09-14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6</t>
        </is>
      </c>
      <c r="F554" s="9" t="inlineStr">
        <is>
          <t>Elevated</t>
        </is>
      </c>
      <c r="G554" s="9" t="inlineStr">
        <is>
          <t>6.5</t>
        </is>
      </c>
      <c r="H554" s="9" t="inlineStr">
        <is>
          <t>2.0</t>
        </is>
      </c>
    </row>
    <row r="555">
      <c r="A555" s="9" t="inlineStr">
        <is>
          <t>2026-09-14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2026-09-14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5.0</t>
        </is>
      </c>
      <c r="H556" s="9" t="inlineStr">
        <is>
          <t>2.0</t>
        </is>
      </c>
    </row>
    <row r="557">
      <c r="A557" s="9" t="inlineStr">
        <is>
          <t>2026-09-14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6</t>
        </is>
      </c>
      <c r="F557" s="9" t="inlineStr">
        <is>
          <t>Elevated</t>
        </is>
      </c>
      <c r="G557" s="9" t="inlineStr">
        <is>
          <t>6.5</t>
        </is>
      </c>
      <c r="H557" s="9" t="inlineStr">
        <is>
          <t>2.0</t>
        </is>
      </c>
    </row>
    <row r="558">
      <c r="A558" s="9" t="inlineStr">
        <is>
          <t>2026-09-14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2026-09-14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8</t>
        </is>
      </c>
      <c r="F559" s="9" t="inlineStr">
        <is>
          <t>High</t>
        </is>
      </c>
      <c r="G559" s="9" t="inlineStr">
        <is>
          <t>7.75</t>
        </is>
      </c>
      <c r="H559" s="9" t="inlineStr">
        <is>
          <t>2.0</t>
        </is>
      </c>
    </row>
    <row r="560">
      <c r="A560" s="9" t="inlineStr">
        <is>
          <t>2026-09-14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2026-09-15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2026-09-15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2026-09-15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2026-09-15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2026-09-15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2026-09-15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2026-09-15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2026-09-15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2026-09-15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4</t>
        </is>
      </c>
      <c r="F569" s="9" t="inlineStr">
        <is>
          <t>Moderate</t>
        </is>
      </c>
      <c r="G569" s="9" t="inlineStr">
        <is>
          <t>4.5</t>
        </is>
      </c>
      <c r="H569" s="9" t="inlineStr">
        <is>
          <t>2.0</t>
        </is>
      </c>
    </row>
    <row r="570">
      <c r="A570" s="9" t="inlineStr">
        <is>
          <t>2026-09-15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2026-09-15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2026-09-15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2026-09-15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2026-09-15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2026-09-15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2026-09-15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2026-09-15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2026-09-15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2026-09-15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2026-09-15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8</t>
        </is>
      </c>
      <c r="F580" s="9" t="inlineStr">
        <is>
          <t>High</t>
        </is>
      </c>
      <c r="G580" s="9" t="inlineStr">
        <is>
          <t>7.75</t>
        </is>
      </c>
      <c r="H580" s="9" t="inlineStr">
        <is>
          <t>2.0</t>
        </is>
      </c>
    </row>
    <row r="581">
      <c r="A581" s="9" t="inlineStr">
        <is>
          <t>2026-09-15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2026-09-16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2026-09-16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2026-09-16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2026-09-16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2026-09-16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2026-09-16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2026-09-16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2026-09-16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2026-09-16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4</t>
        </is>
      </c>
      <c r="F590" s="9" t="inlineStr">
        <is>
          <t>Moderate</t>
        </is>
      </c>
      <c r="G590" s="9" t="inlineStr">
        <is>
          <t>4.5</t>
        </is>
      </c>
      <c r="H590" s="9" t="inlineStr">
        <is>
          <t>2.0</t>
        </is>
      </c>
    </row>
    <row r="591">
      <c r="A591" s="9" t="inlineStr">
        <is>
          <t>2026-09-16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2026-09-16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2026-09-16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2026-09-16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2026-09-16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2026-09-16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2026-09-16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2026-09-16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2026-09-16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2026-09-16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2026-09-16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8</t>
        </is>
      </c>
      <c r="F601" s="9" t="inlineStr">
        <is>
          <t>High</t>
        </is>
      </c>
      <c r="G601" s="9" t="inlineStr">
        <is>
          <t>7.75</t>
        </is>
      </c>
      <c r="H601" s="9" t="inlineStr">
        <is>
          <t>2.0</t>
        </is>
      </c>
    </row>
    <row r="602">
      <c r="A602" s="9" t="inlineStr">
        <is>
          <t>2026-09-16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2026-09-17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2026-09-17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2026-09-17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2026-09-17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2026-09-17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2026-09-17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2026-09-17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2026-09-17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2026-09-17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4</t>
        </is>
      </c>
      <c r="F611" s="9" t="inlineStr">
        <is>
          <t>Moderate</t>
        </is>
      </c>
      <c r="G611" s="9" t="inlineStr">
        <is>
          <t>4.5</t>
        </is>
      </c>
      <c r="H611" s="9" t="inlineStr">
        <is>
          <t>2.0</t>
        </is>
      </c>
    </row>
    <row r="612">
      <c r="A612" s="9" t="inlineStr">
        <is>
          <t>2026-09-17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2026-09-17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2026-09-17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2026-09-17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2026-09-17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2026-09-17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2026-09-17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2026-09-17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2026-09-17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2026-09-17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2026-09-17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8</t>
        </is>
      </c>
      <c r="F622" s="9" t="inlineStr">
        <is>
          <t>High</t>
        </is>
      </c>
      <c r="G622" s="9" t="inlineStr">
        <is>
          <t>7.75</t>
        </is>
      </c>
      <c r="H622" s="9" t="inlineStr">
        <is>
          <t>2.0</t>
        </is>
      </c>
    </row>
    <row r="623">
      <c r="A623" s="9" t="inlineStr">
        <is>
          <t>2026-09-17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2026-09-18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2026-09-18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2026-09-18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2026-09-18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2026-09-18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2026-09-18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2026-09-18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2026-09-18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2026-09-18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4</t>
        </is>
      </c>
      <c r="F632" s="9" t="inlineStr">
        <is>
          <t>Moderate</t>
        </is>
      </c>
      <c r="G632" s="9" t="inlineStr">
        <is>
          <t>4.5</t>
        </is>
      </c>
      <c r="H632" s="9" t="inlineStr">
        <is>
          <t>2.0</t>
        </is>
      </c>
    </row>
    <row r="633">
      <c r="A633" s="9" t="inlineStr">
        <is>
          <t>2026-09-18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2026-09-18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2026-09-18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2026-09-18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2026-09-18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2026-09-18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2026-09-18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2026-09-18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2026-09-18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2026-09-18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2026-09-18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2026-09-18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2026-09-21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2026-09-21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2026-09-21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2026-09-21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2026-09-21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2026-09-21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2026-09-21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2026-09-21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2026-09-21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5</t>
        </is>
      </c>
      <c r="F653" s="9" t="inlineStr">
        <is>
          <t>Elevated</t>
        </is>
      </c>
      <c r="G653" s="9" t="inlineStr">
        <is>
          <t>5.25</t>
        </is>
      </c>
      <c r="H653" s="9" t="inlineStr">
        <is>
          <t>2.0</t>
        </is>
      </c>
    </row>
    <row r="654">
      <c r="A654" s="9" t="inlineStr">
        <is>
          <t>2026-09-21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2026-09-21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2026-09-21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2026-09-21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2026-09-21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2026-09-21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2026-09-21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2026-09-21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2026-09-21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2026-09-21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2026-09-21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2026-09-21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2026-09-22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2026-09-22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2026-09-22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2026-09-22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5</t>
        </is>
      </c>
      <c r="F669" s="9" t="inlineStr">
        <is>
          <t>Elevated</t>
        </is>
      </c>
      <c r="G669" s="9" t="inlineStr">
        <is>
          <t>5.0</t>
        </is>
      </c>
      <c r="H669" s="9" t="inlineStr">
        <is>
          <t>2.0</t>
        </is>
      </c>
    </row>
    <row r="670">
      <c r="A670" s="9" t="inlineStr">
        <is>
          <t>2026-09-22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2026-09-22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2026-09-22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2026-09-22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2026-09-22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2026-09-22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2026-09-22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2026-09-22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2026-09-22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2026-09-22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2026-09-22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2026-09-22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2026-09-22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2026-09-22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2026-09-22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2026-09-22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6.75</t>
        </is>
      </c>
      <c r="H685" s="9" t="inlineStr">
        <is>
          <t>2.0</t>
        </is>
      </c>
    </row>
    <row r="686">
      <c r="A686" s="9" t="inlineStr">
        <is>
          <t>2026-09-22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4.25</t>
        </is>
      </c>
      <c r="H686" s="9" t="inlineStr">
        <is>
          <t>2.0</t>
        </is>
      </c>
    </row>
    <row r="687">
      <c r="A687" s="9" t="inlineStr">
        <is>
          <t>2026-09-23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2026-09-23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2026-09-23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2026-09-23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2026-09-23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2026-09-23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2026-09-23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2026-09-23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2026-09-23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2026-09-23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2026-09-23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2026-09-23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2026-09-23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2026-09-23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2026-09-23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2026-09-23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2026-09-23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2026-09-23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2026-09-23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2026-09-23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2026-09-23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2026-09-24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2026-09-24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2026-09-24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2026-09-24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2026-09-24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2026-09-24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2026-09-24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2026-09-24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2026-09-24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2026-09-24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2026-09-24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2026-09-24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2026-09-24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2026-09-24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2026-09-24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2026-09-24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2026-09-24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2026-09-24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2026-09-24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2026-09-24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2026-09-24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2026-09-25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6.25</t>
        </is>
      </c>
      <c r="H729" s="9" t="inlineStr">
        <is>
          <t>2.0</t>
        </is>
      </c>
    </row>
    <row r="730">
      <c r="A730" s="9" t="inlineStr">
        <is>
          <t>2026-09-25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2026-09-25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2026-09-25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2026-09-25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2026-09-25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2026-09-25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2026-09-25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2026-09-25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2026-09-25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2026-09-25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2026-09-25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2026-09-25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2026-09-25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2026-09-25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2026-09-25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2026-09-25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2026-09-25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2026-09-25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2026-09-25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2026-09-25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2026-09-28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2026-09-28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2026-09-28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2026-09-28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2026-09-28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2026-09-28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6</t>
        </is>
      </c>
      <c r="F755" s="9" t="inlineStr">
        <is>
          <t>Elevated</t>
        </is>
      </c>
      <c r="G755" s="9" t="inlineStr">
        <is>
          <t>6.25</t>
        </is>
      </c>
      <c r="H755" s="9" t="inlineStr">
        <is>
          <t>2.0</t>
        </is>
      </c>
    </row>
    <row r="756">
      <c r="A756" s="9" t="inlineStr">
        <is>
          <t>2026-09-28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2026-09-28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2026-09-28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6</t>
        </is>
      </c>
      <c r="F758" s="9" t="inlineStr">
        <is>
          <t>Elevated</t>
        </is>
      </c>
      <c r="G758" s="9" t="inlineStr">
        <is>
          <t>5.75</t>
        </is>
      </c>
      <c r="H758" s="9" t="inlineStr">
        <is>
          <t>2.0</t>
        </is>
      </c>
    </row>
    <row r="759">
      <c r="A759" s="9" t="inlineStr">
        <is>
          <t>2026-09-28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2026-09-28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2026-09-28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2026-09-28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2026-09-28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2026-09-28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7</t>
        </is>
      </c>
      <c r="F764" s="9" t="inlineStr">
        <is>
          <t>High</t>
        </is>
      </c>
      <c r="G764" s="9" t="inlineStr">
        <is>
          <t>7.0</t>
        </is>
      </c>
      <c r="H764" s="9" t="inlineStr">
        <is>
          <t>2.0</t>
        </is>
      </c>
    </row>
    <row r="765">
      <c r="A765" s="9" t="inlineStr">
        <is>
          <t>2026-09-28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2026-09-28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4</t>
        </is>
      </c>
      <c r="F766" s="9" t="inlineStr">
        <is>
          <t>Moderate</t>
        </is>
      </c>
      <c r="G766" s="9" t="inlineStr">
        <is>
          <t>4.5</t>
        </is>
      </c>
      <c r="H766" s="9" t="inlineStr">
        <is>
          <t>2.0</t>
        </is>
      </c>
    </row>
    <row r="767">
      <c r="A767" s="9" t="inlineStr">
        <is>
          <t>2026-09-28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2026-09-28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2026-09-28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2026-09-28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4.25</t>
        </is>
      </c>
      <c r="H770" s="9" t="inlineStr">
        <is>
          <t>2.0</t>
        </is>
      </c>
    </row>
    <row r="771">
      <c r="A771" s="9" t="inlineStr">
        <is>
          <t>2026-09-29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6.25</t>
        </is>
      </c>
      <c r="H771" s="9" t="inlineStr">
        <is>
          <t>2.0</t>
        </is>
      </c>
    </row>
    <row r="772">
      <c r="A772" s="9" t="inlineStr">
        <is>
          <t>2026-09-29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2026-09-29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2026-09-29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2026-09-29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2026-09-29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2026-09-29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2026-09-29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2026-09-29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2026-09-29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2026-09-29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2026-09-29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2026-09-29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2026-09-29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2026-09-29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2026-09-29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2026-09-29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2026-09-29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2026-09-29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2026-09-29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2026-09-29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4.5</t>
        </is>
      </c>
      <c r="H791" s="9" t="inlineStr">
        <is>
          <t>2.0</t>
        </is>
      </c>
    </row>
    <row r="792">
      <c r="A792" s="9" t="inlineStr">
        <is>
          <t>2026-09-30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2026-09-30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2026-09-30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2026-09-30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2026-09-30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2026-09-30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2026-09-30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2026-09-30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2026-09-30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2026-09-30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2026-09-30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2026-09-30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2026-09-30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2026-09-30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2026-09-30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2026-09-30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2026-09-30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2026-09-30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2026-09-30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2026-09-30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2026-09-30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2026-10-01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2026-10-01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2026-10-01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2026-10-01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2026-10-01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2026-10-01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2026-10-01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2026-10-01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2026-10-01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2026-10-01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2026-10-01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2026-10-01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2026-10-01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2026-10-01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2026-10-01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2026-10-01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2026-10-01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2026-10-01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2026-10-01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2026-10-01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2026-10-01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2026-10-02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2026-10-02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2026-10-02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2026-10-02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2026-10-02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2026-10-02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2026-10-02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2026-10-02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2026-10-02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2026-10-02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2026-10-02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2026-10-02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2026-10-02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2026-10-02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2026-10-02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2026-10-02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2026-10-02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2026-10-02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2026-10-02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2026-10-02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2026-10-02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2026-10-06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2026-10-06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2026-10-06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2026-10-06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2026-10-06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2026-10-06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2026-10-06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2026-10-06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2026-10-06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2026-10-06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2026-10-06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2026-10-06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2026-10-06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2026-10-06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2026-10-06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2026-10-06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2026-10-06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2026-10-06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2026-10-06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2026-10-06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2026-10-06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2026-10-07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2026-10-07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2026-10-07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2026-10-07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2026-10-07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2026-10-07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2026-10-07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2026-10-07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2026-10-07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2026-10-07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2026-10-07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2026-10-07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2026-10-07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2026-10-07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2026-10-07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2026-10-07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2026-10-07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2026-10-07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2026-10-07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2026-10-07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2026-10-07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2026-10-08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5.5</t>
        </is>
      </c>
      <c r="H897" s="9" t="inlineStr">
        <is>
          <t>2.0</t>
        </is>
      </c>
    </row>
    <row r="898">
      <c r="A898" s="9" t="inlineStr">
        <is>
          <t>2026-10-08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2026-10-08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2026-10-08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2026-10-08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2026-10-08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2026-10-08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2026-10-08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2026-10-08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2026-10-08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2026-10-08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2026-10-08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2026-10-08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2026-10-08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2026-10-08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2026-10-08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2026-10-08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2026-10-08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2026-10-08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2026-10-08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2026-10-08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4.25</t>
        </is>
      </c>
      <c r="H917" s="9" t="inlineStr">
        <is>
          <t>2.0</t>
        </is>
      </c>
    </row>
    <row r="918">
      <c r="A918" s="9" t="inlineStr">
        <is>
          <t>2026-10-09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2026-10-09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2026-10-09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2026-10-09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2026-10-09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2026-10-09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2026-10-09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2026-10-09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2026-10-09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2026-10-09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2026-10-09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2026-10-09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2026-10-09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2026-10-09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2026-10-09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2026-10-09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2026-10-09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2026-10-09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2026-10-09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2026-10-09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2026-10-09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2026-10-12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2026-10-12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2026-10-12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2026-10-12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2026-10-12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2026-10-12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7</t>
        </is>
      </c>
      <c r="F944" s="9" t="inlineStr">
        <is>
          <t>High</t>
        </is>
      </c>
      <c r="G944" s="9" t="inlineStr">
        <is>
          <t>6.75</t>
        </is>
      </c>
      <c r="H944" s="9" t="inlineStr">
        <is>
          <t>2.0</t>
        </is>
      </c>
    </row>
    <row r="945">
      <c r="A945" s="9" t="inlineStr">
        <is>
          <t>2026-10-12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2026-10-12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2026-10-12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2026-10-12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2026-10-12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2026-10-12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4</t>
        </is>
      </c>
      <c r="F950" s="9" t="inlineStr">
        <is>
          <t>Moderate</t>
        </is>
      </c>
      <c r="G950" s="9" t="inlineStr">
        <is>
          <t>3.5</t>
        </is>
      </c>
      <c r="H950" s="9" t="inlineStr">
        <is>
          <t>2.0</t>
        </is>
      </c>
    </row>
    <row r="951">
      <c r="A951" s="9" t="inlineStr">
        <is>
          <t>2026-10-12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2026-10-12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2026-10-12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2026-10-12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2026-10-12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5</t>
        </is>
      </c>
      <c r="F955" s="9" t="inlineStr">
        <is>
          <t>Elevated</t>
        </is>
      </c>
      <c r="G955" s="9" t="inlineStr">
        <is>
          <t>5.0</t>
        </is>
      </c>
      <c r="H955" s="9" t="inlineStr">
        <is>
          <t>2.0</t>
        </is>
      </c>
    </row>
    <row r="956">
      <c r="A956" s="9" t="inlineStr">
        <is>
          <t>2026-10-12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2026-10-12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2026-10-12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7.0</t>
        </is>
      </c>
      <c r="H958" s="9" t="inlineStr">
        <is>
          <t>2.0</t>
        </is>
      </c>
    </row>
    <row r="959">
      <c r="A959" s="9" t="inlineStr">
        <is>
          <t>2026-10-12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2026-10-13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2.0</t>
        </is>
      </c>
    </row>
    <row r="961">
      <c r="A961" s="9" t="inlineStr">
        <is>
          <t>2026-10-13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2026-10-13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2026-10-13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2026-10-13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2026-10-13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2026-10-13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2026-10-13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2026-10-13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2026-10-13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2026-10-13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2026-10-13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2.0</t>
        </is>
      </c>
    </row>
    <row r="972">
      <c r="A972" s="9" t="inlineStr">
        <is>
          <t>2026-10-13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2026-10-13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2026-10-13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2026-10-13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2026-10-13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2026-10-13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2026-10-13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2026-10-13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2026-10-13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2026-10-14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5.5</t>
        </is>
      </c>
      <c r="H981" s="9" t="inlineStr">
        <is>
          <t>3.0</t>
        </is>
      </c>
    </row>
    <row r="982">
      <c r="A982" s="9" t="inlineStr">
        <is>
          <t>2026-10-14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3.0</t>
        </is>
      </c>
    </row>
    <row r="983">
      <c r="A983" s="9" t="inlineStr">
        <is>
          <t>2026-10-14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3.0</t>
        </is>
      </c>
    </row>
    <row r="984">
      <c r="A984" s="9" t="inlineStr">
        <is>
          <t>2026-10-14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3.0</t>
        </is>
      </c>
    </row>
    <row r="985">
      <c r="A985" s="9" t="inlineStr">
        <is>
          <t>2026-10-14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7</t>
        </is>
      </c>
      <c r="F985" s="9" t="inlineStr">
        <is>
          <t>High</t>
        </is>
      </c>
      <c r="G985" s="9" t="inlineStr">
        <is>
          <t>6.5</t>
        </is>
      </c>
      <c r="H985" s="9" t="inlineStr">
        <is>
          <t>3.0</t>
        </is>
      </c>
    </row>
    <row r="986">
      <c r="A986" s="9" t="inlineStr">
        <is>
          <t>2026-10-14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3.0</t>
        </is>
      </c>
    </row>
    <row r="987">
      <c r="A987" s="9" t="inlineStr">
        <is>
          <t>2026-10-14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5</t>
        </is>
      </c>
      <c r="F987" s="9" t="inlineStr">
        <is>
          <t>Elevated</t>
        </is>
      </c>
      <c r="G987" s="9" t="inlineStr">
        <is>
          <t>4.5</t>
        </is>
      </c>
      <c r="H987" s="9" t="inlineStr">
        <is>
          <t>3.0</t>
        </is>
      </c>
    </row>
    <row r="988">
      <c r="A988" s="9" t="inlineStr">
        <is>
          <t>2026-10-14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7</t>
        </is>
      </c>
      <c r="F988" s="9" t="inlineStr">
        <is>
          <t>High</t>
        </is>
      </c>
      <c r="G988" s="9" t="inlineStr">
        <is>
          <t>6.5</t>
        </is>
      </c>
      <c r="H988" s="9" t="inlineStr">
        <is>
          <t>3.0</t>
        </is>
      </c>
    </row>
    <row r="989">
      <c r="A989" s="9" t="inlineStr">
        <is>
          <t>2026-10-14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3.0</t>
        </is>
      </c>
    </row>
    <row r="990">
      <c r="A990" s="9" t="inlineStr">
        <is>
          <t>2026-10-14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3.0</t>
        </is>
      </c>
    </row>
    <row r="991">
      <c r="A991" s="9" t="inlineStr">
        <is>
          <t>2026-10-14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3.0</t>
        </is>
      </c>
    </row>
    <row r="992">
      <c r="A992" s="9" t="inlineStr">
        <is>
          <t>2026-10-14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3.0</t>
        </is>
      </c>
    </row>
    <row r="993">
      <c r="A993" s="9" t="inlineStr">
        <is>
          <t>2026-10-14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5</t>
        </is>
      </c>
      <c r="F993" s="9" t="inlineStr">
        <is>
          <t>Elevated</t>
        </is>
      </c>
      <c r="G993" s="9" t="inlineStr">
        <is>
          <t>4.5</t>
        </is>
      </c>
      <c r="H993" s="9" t="inlineStr">
        <is>
          <t>3.0</t>
        </is>
      </c>
    </row>
    <row r="994">
      <c r="A994" s="9" t="inlineStr">
        <is>
          <t>2026-10-14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3.0</t>
        </is>
      </c>
    </row>
    <row r="995">
      <c r="A995" s="9" t="inlineStr">
        <is>
          <t>2026-10-14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3.0</t>
        </is>
      </c>
    </row>
    <row r="996">
      <c r="A996" s="9" t="inlineStr">
        <is>
          <t>2026-10-14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5</t>
        </is>
      </c>
      <c r="F996" s="9" t="inlineStr">
        <is>
          <t>Elevated</t>
        </is>
      </c>
      <c r="G996" s="9" t="inlineStr">
        <is>
          <t>4.5</t>
        </is>
      </c>
      <c r="H996" s="9" t="inlineStr">
        <is>
          <t>3.0</t>
        </is>
      </c>
    </row>
    <row r="997">
      <c r="A997" s="9" t="inlineStr">
        <is>
          <t>2026-10-14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3.0</t>
        </is>
      </c>
    </row>
    <row r="998">
      <c r="A998" s="9" t="inlineStr">
        <is>
          <t>2026-10-14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7</t>
        </is>
      </c>
      <c r="F998" s="9" t="inlineStr">
        <is>
          <t>High</t>
        </is>
      </c>
      <c r="G998" s="9" t="inlineStr">
        <is>
          <t>6.5</t>
        </is>
      </c>
      <c r="H998" s="9" t="inlineStr">
        <is>
          <t>3.0</t>
        </is>
      </c>
    </row>
    <row r="999">
      <c r="A999" s="9" t="inlineStr">
        <is>
          <t>2026-10-14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3.0</t>
        </is>
      </c>
    </row>
    <row r="1000">
      <c r="A1000" s="9" t="inlineStr">
        <is>
          <t>2026-10-14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3.0</t>
        </is>
      </c>
    </row>
    <row r="1001">
      <c r="A1001" s="9" t="inlineStr">
        <is>
          <t>2026-10-14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4.25</t>
        </is>
      </c>
      <c r="H1001" s="9" t="inlineStr">
        <is>
          <t>3.0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(2026-10-14) ---</t>
        </is>
      </c>
    </row>
    <row r="14">
      <c r="A14" s="12" t="inlineStr">
        <is>
          <t># EOD Macro-Risk Brief | 2026-10-14</t>
        </is>
      </c>
    </row>
    <row r="15">
      <c r="A15" s="12" t="inlineStr"/>
    </row>
    <row r="16">
      <c r="A16" s="12" t="inlineStr">
        <is>
          <t>**Overall risk remains High, with eight stories at High band or above.**</t>
        </is>
      </c>
    </row>
    <row r="17">
      <c r="A17" s="12" t="inlineStr"/>
    </row>
    <row r="18">
      <c r="A18" s="12" t="inlineStr">
        <is>
          <t>**Changed story:**</t>
        </is>
      </c>
    </row>
    <row r="19">
      <c r="A19" s="12" t="inlineStr">
        <is>
          <t>- **Clearinghouses (financial chokepoint)** moved from Moderate to Moderate. Treasury volatility (MOVE index) declined to 99.94 from 101.09, reducing acute stress on central counterparty infrastructure and the risk of procyclical margin spirals.</t>
        </is>
      </c>
    </row>
    <row r="20">
      <c r="A20" s="12" t="inlineStr"/>
    </row>
    <row r="21">
      <c r="A21" s="12" t="inlineStr">
        <is>
          <t>**Highest-risk story to watch:**</t>
        </is>
      </c>
    </row>
    <row r="22">
      <c r="A22" s="12" t="inlineStr">
        <is>
          <t>Private credit's opaque expansion remains at High—the largest unmonitored leverage pool, most exposed to mark-to-market shocks and redemption pressure if rates or credit spreads spike.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2026-10-14T15:57:03Z</dcterms:created>
  <dcterms:modified xsi:type="dcterms:W3CDTF">2026-10-14T15:57:03Z</dcterms:modified>
</cp:coreProperties>
</file>