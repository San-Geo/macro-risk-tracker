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2026-06-28  -  generated 2026-06-28 17:17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1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exported deflation</t>
        </is>
      </c>
      <c r="B9" s="4" t="inlineStr">
        <is>
          <t>s5_china_deflation</t>
        </is>
      </c>
      <c r="C9" s="4" t="n">
        <v>1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1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2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2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2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3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3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3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3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3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3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3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Set 1</t>
        </is>
      </c>
      <c r="F27" s="6">
        <f>ROUND(AVERAGEIF($C$5:$C$25,1,$F$5:$F$25),1)</f>
        <v/>
      </c>
    </row>
    <row r="28">
      <c r="A28" s="6" t="inlineStr">
        <is>
          <t>Aggregate - Set 2</t>
        </is>
      </c>
      <c r="F28" s="6">
        <f>ROUND(AVERAGEIF($C$5:$C$25,2,$F$5:$F$25),1)</f>
        <v/>
      </c>
    </row>
    <row r="29">
      <c r="A29" s="6" t="inlineStr">
        <is>
          <t>Aggregate - Set 3</t>
        </is>
      </c>
      <c r="F29" s="6">
        <f>ROUND(AVERAGEIF($C$5:$C$25,3,$F$5:$F$25),1)</f>
        <v/>
      </c>
    </row>
    <row r="30">
      <c r="A30" s="6" t="inlineStr">
        <is>
          <t>Aggregate - Overall</t>
        </is>
      </c>
      <c r="F30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(bps)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baseline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0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161.685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manual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(bps)</t>
        </is>
      </c>
      <c r="D8" s="7" t="n">
        <v>3.1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baseline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0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baseline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baseline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exported deflation</t>
        </is>
      </c>
      <c r="B14" s="4" t="inlineStr">
        <is>
          <t>s5_china_deflation</t>
        </is>
      </c>
      <c r="C14" s="4" t="inlineStr">
        <is>
          <t>China PPI YoY (%) - more negative is worse</t>
        </is>
      </c>
      <c r="D14" s="7" t="n">
        <v>-2.5</v>
      </c>
      <c r="E14" s="4" t="inlineStr">
        <is>
          <t>lower_worse</t>
        </is>
      </c>
      <c r="F14" s="4" t="n">
        <v>-1</v>
      </c>
      <c r="G14" s="4" t="n">
        <v>-3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exported deflation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6.7897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exported deflation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1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Ex-China heavy rare-earth price premium (x China)</t>
        </is>
      </c>
      <c r="D19" s="7" t="n">
        <v>3</v>
      </c>
      <c r="E19" s="4" t="inlineStr">
        <is>
          <t>higher_worse</t>
        </is>
      </c>
      <c r="F19" s="4" t="n">
        <v>2</v>
      </c>
      <c r="G19" s="4" t="n">
        <v>4</v>
      </c>
      <c r="H19" s="4" t="n">
        <v>1</v>
      </c>
      <c r="I19" s="4">
        <f>IF(D19&lt;=F19,0,IF(D19&lt;=G19,1,2))</f>
        <v/>
      </c>
      <c r="J19" s="4" t="n">
        <v>0.5</v>
      </c>
      <c r="K19" s="4">
        <f>J19*(I19-H19)/2</f>
        <v/>
      </c>
      <c r="L19" s="8" t="inlineStr">
        <is>
          <t>manual</t>
        </is>
      </c>
      <c r="M19" s="4" t="inlineStr">
        <is>
          <t>monthly</t>
        </is>
      </c>
      <c r="N19" s="4" t="inlineStr">
        <is>
          <t>live</t>
        </is>
      </c>
      <c r="O19" s="8" t="inlineStr"/>
    </row>
    <row r="20">
      <c r="A20" s="4" t="inlineStr">
        <is>
          <t>Stablecoins &amp; Treasury demand</t>
        </is>
      </c>
      <c r="B20" s="4" t="inlineStr">
        <is>
          <t>s7_stablecoins</t>
        </is>
      </c>
      <c r="C20" s="4" t="inlineStr">
        <is>
          <t>Largest stablecoin max peg deviation (%)</t>
        </is>
      </c>
      <c r="D20" s="7" t="n">
        <v>0.1</v>
      </c>
      <c r="E20" s="4" t="inlineStr">
        <is>
          <t>higher_worse</t>
        </is>
      </c>
      <c r="F20" s="4" t="n">
        <v>0.5</v>
      </c>
      <c r="G20" s="4" t="n">
        <v>2</v>
      </c>
      <c r="H20" s="4" t="n">
        <v>0</v>
      </c>
      <c r="I20" s="4">
        <f>IF(D20&lt;=F20,0,IF(D20&lt;=G20,1,2))</f>
        <v/>
      </c>
      <c r="J20" s="4" t="n">
        <v>1.5</v>
      </c>
      <c r="K20" s="4">
        <f>J20*(I20-H20)/2</f>
        <v/>
      </c>
      <c r="L20" s="8" t="inlineStr">
        <is>
          <t>manual</t>
        </is>
      </c>
      <c r="M20" s="4" t="inlineStr">
        <is>
          <t>daily</t>
        </is>
      </c>
      <c r="N20" s="4" t="inlineStr">
        <is>
          <t>live</t>
        </is>
      </c>
      <c r="O20" s="8" t="inlineStr">
        <is>
          <t>USDC briefly hit ~$0.87 (13%) in Mar 2023.</t>
        </is>
      </c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Total USD stablecoin supply ($bn)</t>
        </is>
      </c>
      <c r="D21" s="7" t="n">
        <v>280</v>
      </c>
      <c r="E21" s="4" t="inlineStr">
        <is>
          <t>higher_worse</t>
        </is>
      </c>
      <c r="F21" s="4" t="n">
        <v>350</v>
      </c>
      <c r="G21" s="4" t="n">
        <v>600</v>
      </c>
      <c r="H21" s="4" t="n">
        <v>0</v>
      </c>
      <c r="I21" s="4">
        <f>IF(D21&lt;=F21,0,IF(D21&lt;=G21,1,2))</f>
        <v/>
      </c>
      <c r="J21" s="4" t="n">
        <v>0.5</v>
      </c>
      <c r="K21" s="4">
        <f>J21*(I21-H21)/2</f>
        <v/>
      </c>
      <c r="L21" s="8" t="inlineStr">
        <is>
          <t>manual</t>
        </is>
      </c>
      <c r="M21" s="4" t="inlineStr">
        <is>
          <t>monthly</t>
        </is>
      </c>
      <c r="N21" s="4" t="inlineStr">
        <is>
          <t>live</t>
        </is>
      </c>
      <c r="O21" s="8" t="inlineStr">
        <is>
          <t>Bigger = more T-bill demand AND more run risk.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GENIUS implementation friction (0 smooth / 1 gaps / 2 problems)</t>
        </is>
      </c>
      <c r="D22" s="7" t="n">
        <v>0</v>
      </c>
      <c r="E22" s="4" t="inlineStr">
        <is>
          <t>higher_worse</t>
        </is>
      </c>
      <c r="F22" s="4" t="n">
        <v>0</v>
      </c>
      <c r="G22" s="4" t="n">
        <v>1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manual</t>
        </is>
      </c>
      <c r="M22" s="4" t="inlineStr">
        <is>
          <t>event</t>
        </is>
      </c>
      <c r="N22" s="4" t="inlineStr">
        <is>
          <t>live</t>
        </is>
      </c>
      <c r="O22" s="8" t="inlineStr"/>
    </row>
    <row r="23">
      <c r="A23" s="4" t="inlineStr">
        <is>
          <t>AI build-out circular financing</t>
        </is>
      </c>
      <c r="B23" s="4" t="inlineStr">
        <is>
          <t>s8_ai_capex</t>
        </is>
      </c>
      <c r="C23" s="4" t="inlineStr">
        <is>
          <t>US investment-grade OAS (bps) - big-issuer proxy</t>
        </is>
      </c>
      <c r="D23" s="7" t="n">
        <v>0.95</v>
      </c>
      <c r="E23" s="4" t="inlineStr">
        <is>
          <t>higher_worse</t>
        </is>
      </c>
      <c r="F23" s="4" t="n">
        <v>1</v>
      </c>
      <c r="G23" s="4" t="n">
        <v>1.4</v>
      </c>
      <c r="H23" s="4" t="n">
        <v>0</v>
      </c>
      <c r="I23" s="4">
        <f>IF(D23&lt;=F23,0,IF(D23&lt;=G23,1,2))</f>
        <v/>
      </c>
      <c r="J23" s="4" t="n">
        <v>1</v>
      </c>
      <c r="K23" s="4">
        <f>J23*(I23-H23)/2</f>
        <v/>
      </c>
      <c r="L23" s="8" t="inlineStr">
        <is>
          <t>fred:BAMLC0A0CM</t>
        </is>
      </c>
      <c r="M23" s="4" t="inlineStr">
        <is>
          <t>daily</t>
        </is>
      </c>
      <c r="N23" s="4" t="inlineStr">
        <is>
          <t>baseline</t>
        </is>
      </c>
      <c r="O23" s="8" t="inlineStr">
        <is>
          <t>FRED in percent; 1.0 = 100bps.</t>
        </is>
      </c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AI capex-vs-revenue gap concern (0 closing / 1 wide / 2 widening fast)</t>
        </is>
      </c>
      <c r="D24" s="7" t="n">
        <v>1</v>
      </c>
      <c r="E24" s="4" t="inlineStr">
        <is>
          <t>higher_worse</t>
        </is>
      </c>
      <c r="F24" s="4" t="n">
        <v>0</v>
      </c>
      <c r="G24" s="4" t="n">
        <v>1</v>
      </c>
      <c r="H24" s="4" t="n">
        <v>1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manual</t>
        </is>
      </c>
      <c r="M24" s="4" t="inlineStr">
        <is>
          <t>quarterly</t>
        </is>
      </c>
      <c r="N24" s="4" t="inlineStr">
        <is>
          <t>live</t>
        </is>
      </c>
      <c r="O24" s="8" t="inlineStr"/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GPU-backed debt refinancing stress (0 none / 1 signs / 2 acute)</t>
        </is>
      </c>
      <c r="D25" s="7" t="n">
        <v>0</v>
      </c>
      <c r="E25" s="4" t="inlineStr">
        <is>
          <t>higher_worse</t>
        </is>
      </c>
      <c r="F25" s="4" t="n">
        <v>0</v>
      </c>
      <c r="G25" s="4" t="n">
        <v>1</v>
      </c>
      <c r="H25" s="4" t="n">
        <v>0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event</t>
        </is>
      </c>
      <c r="N25" s="4" t="inlineStr">
        <is>
          <t>live</t>
        </is>
      </c>
      <c r="O25" s="8" t="inlineStr"/>
    </row>
    <row r="26">
      <c r="A26" s="4" t="inlineStr">
        <is>
          <t>CRE maturity wall / regional banks</t>
        </is>
      </c>
      <c r="B26" s="4" t="inlineStr">
        <is>
          <t>s9_cre</t>
        </is>
      </c>
      <c r="C26" s="4" t="inlineStr">
        <is>
          <t>CMBS office delinquency rate (%)</t>
        </is>
      </c>
      <c r="D26" s="7" t="n">
        <v>12.3</v>
      </c>
      <c r="E26" s="4" t="inlineStr">
        <is>
          <t>higher_worse</t>
        </is>
      </c>
      <c r="F26" s="4" t="n">
        <v>8</v>
      </c>
      <c r="G26" s="4" t="n">
        <v>12</v>
      </c>
      <c r="H26" s="4" t="n">
        <v>2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monthly</t>
        </is>
      </c>
      <c r="N26" s="4" t="inlineStr">
        <is>
          <t>live</t>
        </is>
      </c>
      <c r="O26" s="8" t="inlineStr">
        <is>
          <t>Record 12.34% Jan 2026 (Trepp; paid feed).</t>
        </is>
      </c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Regional-bank CRE stress (0 calm / 1 isolated / 2 cluster)</t>
        </is>
      </c>
      <c r="D27" s="7" t="n">
        <v>0</v>
      </c>
      <c r="E27" s="4" t="inlineStr">
        <is>
          <t>higher_worse</t>
        </is>
      </c>
      <c r="F27" s="4" t="n">
        <v>0</v>
      </c>
      <c r="G27" s="4" t="n">
        <v>1</v>
      </c>
      <c r="H27" s="4" t="n">
        <v>0</v>
      </c>
      <c r="I27" s="4">
        <f>IF(D27&lt;=F27,0,IF(D27&lt;=G27,1,2))</f>
        <v/>
      </c>
      <c r="J27" s="4" t="n">
        <v>1.5</v>
      </c>
      <c r="K27" s="4">
        <f>J27*(I27-H27)/2</f>
        <v/>
      </c>
      <c r="L27" s="8" t="inlineStr">
        <is>
          <t>manual</t>
        </is>
      </c>
      <c r="M27" s="4" t="inlineStr">
        <is>
          <t>event</t>
        </is>
      </c>
      <c r="N27" s="4" t="inlineStr">
        <is>
          <t>live</t>
        </is>
      </c>
      <c r="O27" s="8" t="inlineStr"/>
    </row>
    <row r="28">
      <c r="A28" s="4" t="inlineStr">
        <is>
          <t>France / eurozone fragility</t>
        </is>
      </c>
      <c r="B28" s="4" t="inlineStr">
        <is>
          <t>s10_france</t>
        </is>
      </c>
      <c r="C28" s="4" t="inlineStr">
        <is>
          <t>OAT-Bund 10y spread (bps)</t>
        </is>
      </c>
      <c r="D28" s="7" t="n">
        <v>0.72</v>
      </c>
      <c r="E28" s="4" t="inlineStr">
        <is>
          <t>higher_worse</t>
        </is>
      </c>
      <c r="F28" s="4" t="n">
        <v>0.6</v>
      </c>
      <c r="G28" s="4" t="n">
        <v>0.85</v>
      </c>
      <c r="H28" s="4" t="n">
        <v>1</v>
      </c>
      <c r="I28" s="4">
        <f>IF(D28&lt;=F28,0,IF(D28&lt;=G28,1,2))</f>
        <v/>
      </c>
      <c r="J28" s="4" t="n">
        <v>1</v>
      </c>
      <c r="K28" s="4">
        <f>J28*(I28-H28)/2</f>
        <v/>
      </c>
      <c r="L28" s="8" t="inlineStr">
        <is>
          <t>fred_spread:IRLTLT01FRM156N:IRLTLT01DEM156N</t>
        </is>
      </c>
      <c r="M28" s="4" t="inlineStr">
        <is>
          <t>monthly</t>
        </is>
      </c>
      <c r="N28" s="4" t="inlineStr">
        <is>
          <t>baseline</t>
        </is>
      </c>
      <c r="O28" s="8" t="inlineStr">
        <is>
          <t>FRED rates in percent; spread shown in pp (0.72 = 72bps).</t>
        </is>
      </c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Govt stability (0 stable / 1 fragile / 2 collapse-or-snap-election)</t>
        </is>
      </c>
      <c r="D29" s="7" t="n">
        <v>1</v>
      </c>
      <c r="E29" s="4" t="inlineStr">
        <is>
          <t>higher_worse</t>
        </is>
      </c>
      <c r="F29" s="4" t="n">
        <v>0</v>
      </c>
      <c r="G29" s="4" t="n">
        <v>1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manual</t>
        </is>
      </c>
      <c r="M29" s="4" t="inlineStr">
        <is>
          <t>event</t>
        </is>
      </c>
      <c r="N29" s="4" t="inlineStr">
        <is>
          <t>live</t>
        </is>
      </c>
      <c r="O29" s="8" t="inlineStr"/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Rating action (0 stable / 1 negative outlook / 2 downgrade)</t>
        </is>
      </c>
      <c r="D30" s="7" t="n">
        <v>0</v>
      </c>
      <c r="E30" s="4" t="inlineStr">
        <is>
          <t>higher_worse</t>
        </is>
      </c>
      <c r="F30" s="4" t="n">
        <v>0</v>
      </c>
      <c r="G30" s="4" t="n">
        <v>1</v>
      </c>
      <c r="H30" s="4" t="n">
        <v>0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Hidden consumer debt</t>
        </is>
      </c>
      <c r="B31" s="4" t="inlineStr">
        <is>
          <t>s11_consumer_debt</t>
        </is>
      </c>
      <c r="C31" s="4" t="inlineStr">
        <is>
          <t>Subprime auto 60+ day delinquency (%)</t>
        </is>
      </c>
      <c r="D31" s="7" t="n">
        <v>6.2</v>
      </c>
      <c r="E31" s="4" t="inlineStr">
        <is>
          <t>higher_worse</t>
        </is>
      </c>
      <c r="F31" s="4" t="n">
        <v>5.5</v>
      </c>
      <c r="G31" s="4" t="n">
        <v>6.5</v>
      </c>
      <c r="H31" s="4" t="n">
        <v>1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monthly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US unemployment rate (%)</t>
        </is>
      </c>
      <c r="D32" s="7" t="n">
        <v>4.2</v>
      </c>
      <c r="E32" s="4" t="inlineStr">
        <is>
          <t>higher_worse</t>
        </is>
      </c>
      <c r="F32" s="4" t="n">
        <v>4.4</v>
      </c>
      <c r="G32" s="4" t="n">
        <v>4.8</v>
      </c>
      <c r="H32" s="4" t="n">
        <v>0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fred:UNRATE</t>
        </is>
      </c>
      <c r="M32" s="4" t="inlineStr">
        <is>
          <t>monthly</t>
        </is>
      </c>
      <c r="N32" s="4" t="inlineStr">
        <is>
          <t>baseline</t>
        </is>
      </c>
      <c r="O32" s="8" t="inlineStr">
        <is>
          <t>The key accelerant for consumer stress.</t>
        </is>
      </c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BNPL delinquency trend (0 stable / 1 rising / 2 spiking)</t>
        </is>
      </c>
      <c r="D33" s="7" t="n">
        <v>1</v>
      </c>
      <c r="E33" s="4" t="inlineStr">
        <is>
          <t>higher_worse</t>
        </is>
      </c>
      <c r="F33" s="4" t="n">
        <v>0</v>
      </c>
      <c r="G33" s="4" t="n">
        <v>1</v>
      </c>
      <c r="H33" s="4" t="n">
        <v>1</v>
      </c>
      <c r="I33" s="4">
        <f>IF(D33&lt;=F33,0,IF(D33&lt;=G33,1,2))</f>
        <v/>
      </c>
      <c r="J33" s="4" t="n">
        <v>0.5</v>
      </c>
      <c r="K33" s="4">
        <f>J33*(I33-H33)/2</f>
        <v/>
      </c>
      <c r="L33" s="8" t="inlineStr">
        <is>
          <t>manual</t>
        </is>
      </c>
      <c r="M33" s="4" t="inlineStr">
        <is>
          <t>quarterly</t>
        </is>
      </c>
      <c r="N33" s="4" t="inlineStr">
        <is>
          <t>live</t>
        </is>
      </c>
      <c r="O33" s="8" t="inlineStr"/>
    </row>
    <row r="34">
      <c r="A34" s="4" t="inlineStr">
        <is>
          <t>Gold / de-dollarization</t>
        </is>
      </c>
      <c r="B34" s="4" t="inlineStr">
        <is>
          <t>s12_gold_dedollar</t>
        </is>
      </c>
      <c r="C34" s="4" t="inlineStr">
        <is>
          <t>Gold price (USD/oz)</t>
        </is>
      </c>
      <c r="D34" s="7" t="n">
        <v>4096.2998</v>
      </c>
      <c r="E34" s="4" t="inlineStr">
        <is>
          <t>higher_worse</t>
        </is>
      </c>
      <c r="F34" s="4" t="n">
        <v>4500</v>
      </c>
      <c r="G34" s="4" t="n">
        <v>5500</v>
      </c>
      <c r="H34" s="4" t="n">
        <v>0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market:GC=F</t>
        </is>
      </c>
      <c r="M34" s="4" t="inlineStr">
        <is>
          <t>daily</t>
        </is>
      </c>
      <c r="N34" s="4" t="inlineStr">
        <is>
          <t>live</t>
        </is>
      </c>
      <c r="O34" s="8" t="inlineStr">
        <is>
          <t>Rising = stronger de-dollarization signal.</t>
        </is>
      </c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USD share of FX reserves (%, IMF COFER)</t>
        </is>
      </c>
      <c r="D35" s="7" t="n">
        <v>56.8</v>
      </c>
      <c r="E35" s="4" t="inlineStr">
        <is>
          <t>lower_worse</t>
        </is>
      </c>
      <c r="F35" s="4" t="n">
        <v>57</v>
      </c>
      <c r="G35" s="4" t="n">
        <v>54</v>
      </c>
      <c r="H35" s="4" t="n">
        <v>1</v>
      </c>
      <c r="I35" s="4">
        <f>IF(D35&gt;=F35,0,IF(D35&gt;=G35,1,2))</f>
        <v/>
      </c>
      <c r="J35" s="4" t="n">
        <v>1</v>
      </c>
      <c r="K35" s="4">
        <f>J35*(I35-H35)/2</f>
        <v/>
      </c>
      <c r="L35" s="8" t="inlineStr">
        <is>
          <t>manual</t>
        </is>
      </c>
      <c r="M35" s="4" t="inlineStr">
        <is>
          <t>quarterly</t>
        </is>
      </c>
      <c r="N35" s="4" t="inlineStr">
        <is>
          <t>live</t>
        </is>
      </c>
      <c r="O35" s="8" t="inlineStr"/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Reserve-weaponization / settlement shift (0 none / 1 talk / 2 action)</t>
        </is>
      </c>
      <c r="D36" s="7" t="n">
        <v>0</v>
      </c>
      <c r="E36" s="4" t="inlineStr">
        <is>
          <t>higher_worse</t>
        </is>
      </c>
      <c r="F36" s="4" t="n">
        <v>0</v>
      </c>
      <c r="G36" s="4" t="n">
        <v>1</v>
      </c>
      <c r="H36" s="4" t="n">
        <v>0</v>
      </c>
      <c r="I36" s="4">
        <f>IF(D36&lt;=F36,0,IF(D36&lt;=G36,1,2))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event</t>
        </is>
      </c>
      <c r="N36" s="4" t="inlineStr">
        <is>
          <t>live</t>
        </is>
      </c>
      <c r="O36" s="8" t="inlineStr"/>
    </row>
    <row r="37">
      <c r="A37" s="4" t="inlineStr">
        <is>
          <t>Insurance retreat</t>
        </is>
      </c>
      <c r="B37" s="4" t="inlineStr">
        <is>
          <t>s13_insurance</t>
        </is>
      </c>
      <c r="C37" s="4" t="inlineStr">
        <is>
          <t>Insurer non-renewals / exits (0 stable / 1 rising / 2 accelerating)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1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US single-family mortgage delinquency (%, FRED DRSFRMACBS)</t>
        </is>
      </c>
      <c r="D38" s="7" t="n">
        <v>1.9</v>
      </c>
      <c r="E38" s="4" t="inlineStr">
        <is>
          <t>higher_worse</t>
        </is>
      </c>
      <c r="F38" s="4" t="n">
        <v>2</v>
      </c>
      <c r="G38" s="4" t="n">
        <v>2.6</v>
      </c>
      <c r="H38" s="4" t="n">
        <v>0</v>
      </c>
      <c r="I38" s="4">
        <f>IF(D38&lt;=F38,0,IF(D38&lt;=G38,1,2))</f>
        <v/>
      </c>
      <c r="J38" s="4" t="n">
        <v>0.5</v>
      </c>
      <c r="K38" s="4">
        <f>J38*(I38-H38)/2</f>
        <v/>
      </c>
      <c r="L38" s="8" t="inlineStr">
        <is>
          <t>fred:DRSFRMACBS</t>
        </is>
      </c>
      <c r="M38" s="4" t="inlineStr">
        <is>
          <t>quarterly</t>
        </is>
      </c>
      <c r="N38" s="4" t="inlineStr">
        <is>
          <t>baseline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Catastrophe-loss pressure (0 normal / 1 elevated / 2 severe season)</t>
        </is>
      </c>
      <c r="D39" s="7" t="n">
        <v>1</v>
      </c>
      <c r="E39" s="4" t="inlineStr">
        <is>
          <t>higher_worse</t>
        </is>
      </c>
      <c r="F39" s="4" t="n">
        <v>0</v>
      </c>
      <c r="G39" s="4" t="n">
        <v>1</v>
      </c>
      <c r="H39" s="4" t="n">
        <v>1</v>
      </c>
      <c r="I39" s="4">
        <f>IF(D39&lt;=F39,0,IF(D39&lt;=G39,1,2))</f>
        <v/>
      </c>
      <c r="J39" s="4" t="n">
        <v>1</v>
      </c>
      <c r="K39" s="4">
        <f>J39*(I39-H39)/2</f>
        <v/>
      </c>
      <c r="L39" s="8" t="inlineStr">
        <is>
          <t>manual</t>
        </is>
      </c>
      <c r="M39" s="4" t="inlineStr">
        <is>
          <t>event</t>
        </is>
      </c>
      <c r="N39" s="4" t="inlineStr">
        <is>
          <t>live</t>
        </is>
      </c>
      <c r="O39" s="8" t="inlineStr"/>
    </row>
    <row r="40">
      <c r="A40" s="4" t="inlineStr">
        <is>
          <t>Pensions / demographics</t>
        </is>
      </c>
      <c r="B40" s="4" t="inlineStr">
        <is>
          <t>s14_pensions</t>
        </is>
      </c>
      <c r="C40" s="4" t="inlineStr">
        <is>
          <t>Social Security / pension reform shock (0 none / 1 debate / 2 cuts)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0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Pension-fund leverage event, UK-2022 type (0 none / 1 stress / 2 blowup)</t>
        </is>
      </c>
      <c r="D41" s="7" t="n">
        <v>0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Large public-pension funded ratio (%)</t>
        </is>
      </c>
      <c r="D42" s="7" t="n">
        <v>78</v>
      </c>
      <c r="E42" s="4" t="inlineStr">
        <is>
          <t>lower_worse</t>
        </is>
      </c>
      <c r="F42" s="4" t="n">
        <v>80</v>
      </c>
      <c r="G42" s="4" t="n">
        <v>70</v>
      </c>
      <c r="H42" s="4" t="n">
        <v>1</v>
      </c>
      <c r="I42" s="4">
        <f>IF(D42&gt;=F42,0,IF(D42&gt;=G42,1,2))</f>
        <v/>
      </c>
      <c r="J42" s="4" t="n">
        <v>0.5</v>
      </c>
      <c r="K42" s="4">
        <f>J42*(I42-H42)/2</f>
        <v/>
      </c>
      <c r="L42" s="8" t="inlineStr">
        <is>
          <t>manual</t>
        </is>
      </c>
      <c r="M42" s="4" t="inlineStr">
        <is>
          <t>annual</t>
        </is>
      </c>
      <c r="N42" s="4" t="inlineStr">
        <is>
          <t>live</t>
        </is>
      </c>
      <c r="O42" s="8" t="inlineStr"/>
    </row>
    <row r="43">
      <c r="A43" s="4" t="inlineStr">
        <is>
          <t>AI power &amp; the grid bottleneck</t>
        </is>
      </c>
      <c r="B43" s="4" t="inlineStr">
        <is>
          <t>s15_ai_power</t>
        </is>
      </c>
      <c r="C43" s="4" t="inlineStr">
        <is>
          <t>Grid interconnection wait (months)</t>
        </is>
      </c>
      <c r="D43" s="7" t="n">
        <v>54</v>
      </c>
      <c r="E43" s="4" t="inlineStr">
        <is>
          <t>higher_worse</t>
        </is>
      </c>
      <c r="F43" s="4" t="n">
        <v>36</v>
      </c>
      <c r="G43" s="4" t="n">
        <v>50</v>
      </c>
      <c r="H43" s="4" t="n">
        <v>2</v>
      </c>
      <c r="I43" s="4">
        <f>IF(D43&lt;=F43,0,IF(D43&lt;=G43,1,2))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quarterly</t>
        </is>
      </c>
      <c r="N43" s="4" t="inlineStr">
        <is>
          <t>live</t>
        </is>
      </c>
      <c r="O43" s="8" t="inlineStr">
        <is>
          <t>~22 months in 2000, ~54 in 2026.</t>
        </is>
      </c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Data-center moratoria / backlash (0 none / 1 spreading / 2 widespread)</t>
        </is>
      </c>
      <c r="D44" s="7" t="n">
        <v>1</v>
      </c>
      <c r="E44" s="4" t="inlineStr">
        <is>
          <t>higher_worse</t>
        </is>
      </c>
      <c r="F44" s="4" t="n">
        <v>0</v>
      </c>
      <c r="G44" s="4" t="n">
        <v>1</v>
      </c>
      <c r="H44" s="4" t="n">
        <v>1</v>
      </c>
      <c r="I44" s="4">
        <f>IF(D44&lt;=F44,0,IF(D44&lt;=G44,1,2))</f>
        <v/>
      </c>
      <c r="J44" s="4" t="n">
        <v>1</v>
      </c>
      <c r="K44" s="4">
        <f>J44*(I44-H44)/2</f>
        <v/>
      </c>
      <c r="L44" s="8" t="inlineStr">
        <is>
          <t>manual</t>
        </is>
      </c>
      <c r="M44" s="4" t="inlineStr">
        <is>
          <t>event</t>
        </is>
      </c>
      <c r="N44" s="4" t="inlineStr">
        <is>
          <t>live</t>
        </is>
      </c>
      <c r="O44" s="8" t="inlineStr"/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AI power-demand pressure (0 easing / 1 tight / 2 acute)</t>
        </is>
      </c>
      <c r="D45" s="7" t="n">
        <v>1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quarterly</t>
        </is>
      </c>
      <c r="N45" s="4" t="inlineStr">
        <is>
          <t>live</t>
        </is>
      </c>
      <c r="O45" s="8" t="inlineStr">
        <is>
          <t>Wood Mac saw a late-2025 slowdown; watch capex guidance.</t>
        </is>
      </c>
    </row>
    <row r="46">
      <c r="A46" s="4" t="inlineStr">
        <is>
          <t>Copper &amp; the electrification deficit</t>
        </is>
      </c>
      <c r="B46" s="4" t="inlineStr">
        <is>
          <t>s16_copper</t>
        </is>
      </c>
      <c r="C46" s="4" t="inlineStr">
        <is>
          <t>Copper price (USD/lb, COMEX HG=F)</t>
        </is>
      </c>
      <c r="D46" s="7" t="n">
        <v>6.207</v>
      </c>
      <c r="E46" s="4" t="inlineStr">
        <is>
          <t>higher_worse</t>
        </is>
      </c>
      <c r="F46" s="4" t="n">
        <v>5</v>
      </c>
      <c r="G46" s="4" t="n">
        <v>6</v>
      </c>
      <c r="H46" s="4" t="n">
        <v>1</v>
      </c>
      <c r="I46" s="4">
        <f>IF(D46&lt;=F46,0,IF(D46&lt;=G46,1,2))</f>
        <v/>
      </c>
      <c r="J46" s="4" t="n">
        <v>0.5</v>
      </c>
      <c r="K46" s="4">
        <f>J46*(I46-H46)/2</f>
        <v/>
      </c>
      <c r="L46" s="8" t="inlineStr">
        <is>
          <t>market:HG=F</t>
        </is>
      </c>
      <c r="M46" s="4" t="inlineStr">
        <is>
          <t>daily</t>
        </is>
      </c>
      <c r="N46" s="4" t="inlineStr">
        <is>
          <t>live</t>
        </is>
      </c>
      <c r="O46" s="8" t="inlineStr">
        <is>
          <t>~$12,000/ton = ~$5.44/lb.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Major mine disruptions (0 none / 1 some / 2 cluster)</t>
        </is>
      </c>
      <c r="D47" s="7" t="n">
        <v>1</v>
      </c>
      <c r="E47" s="4" t="inlineStr">
        <is>
          <t>higher_worse</t>
        </is>
      </c>
      <c r="F47" s="4" t="n">
        <v>0</v>
      </c>
      <c r="G47" s="4" t="n">
        <v>1</v>
      </c>
      <c r="H47" s="4" t="n">
        <v>1</v>
      </c>
      <c r="I47" s="4">
        <f>IF(D47&lt;=F47,0,IF(D47&lt;=G47,1,2))</f>
        <v/>
      </c>
      <c r="J47" s="4" t="n">
        <v>1</v>
      </c>
      <c r="K47" s="4">
        <f>J47*(I47-H47)/2</f>
        <v/>
      </c>
      <c r="L47" s="8" t="inlineStr">
        <is>
          <t>manual</t>
        </is>
      </c>
      <c r="M47" s="4" t="inlineStr">
        <is>
          <t>event</t>
        </is>
      </c>
      <c r="N47" s="4" t="inlineStr">
        <is>
          <t>live</t>
        </is>
      </c>
      <c r="O47" s="8" t="inlineStr">
        <is>
          <t>Grasberg mud intrusion, Kamoa-Kakula flooding.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Deficit timing (0 surplus / 1 balanced / 2 deficit)</t>
        </is>
      </c>
      <c r="D48" s="7" t="n">
        <v>1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0.5</v>
      </c>
      <c r="K48" s="4">
        <f>J48*(I48-H48)/2</f>
        <v/>
      </c>
      <c r="L48" s="8" t="inlineStr">
        <is>
          <t>manual</t>
        </is>
      </c>
      <c r="M48" s="4" t="inlineStr">
        <is>
          <t>quarterly</t>
        </is>
      </c>
      <c r="N48" s="4" t="inlineStr">
        <is>
          <t>live</t>
        </is>
      </c>
      <c r="O48" s="8" t="inlineStr"/>
    </row>
    <row r="49">
      <c r="A49" s="4" t="inlineStr">
        <is>
          <t>Water - the underpriced input</t>
        </is>
      </c>
      <c r="B49" s="4" t="inlineStr">
        <is>
          <t>s17_water</t>
        </is>
      </c>
      <c r="C49" s="4" t="inlineStr">
        <is>
          <t>Drought in a chip/farm hub (0 none / 1 emerging / 2 acute)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1</v>
      </c>
      <c r="K49" s="4">
        <f>J49*(I49-H49)/2</f>
        <v/>
      </c>
      <c r="L49" s="8" t="inlineStr">
        <is>
          <t>manual</t>
        </is>
      </c>
      <c r="M49" s="4" t="inlineStr">
        <is>
          <t>event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Key reservoir / basin stress (0 normal / 1 low / 2 critical)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0.5</v>
      </c>
      <c r="K50" s="4">
        <f>J50*(I50-H50)/2</f>
        <v/>
      </c>
      <c r="L50" s="8" t="inlineStr">
        <is>
          <t>manual</t>
        </is>
      </c>
      <c r="M50" s="4" t="inlineStr">
        <is>
          <t>quarterly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Transboundary water dispute escalation (0 calm / 1 tense / 2 crisis)</t>
        </is>
      </c>
      <c r="D51" s="7" t="n">
        <v>0</v>
      </c>
      <c r="E51" s="4" t="inlineStr">
        <is>
          <t>higher_worse</t>
        </is>
      </c>
      <c r="F51" s="4" t="n">
        <v>0</v>
      </c>
      <c r="G51" s="4" t="n">
        <v>1</v>
      </c>
      <c r="H51" s="4" t="n">
        <v>0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event</t>
        </is>
      </c>
      <c r="N51" s="4" t="inlineStr">
        <is>
          <t>live</t>
        </is>
      </c>
      <c r="O51" s="8" t="inlineStr"/>
    </row>
    <row r="52">
      <c r="A52" s="4" t="inlineStr">
        <is>
          <t>Food &amp; fertilizer fragility</t>
        </is>
      </c>
      <c r="B52" s="4" t="inlineStr">
        <is>
          <t>s18_food_fertilizer</t>
        </is>
      </c>
      <c r="C52" s="4" t="inlineStr">
        <is>
          <t>Food-price trend (0 falling / 1 elevated / 2 spiking)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1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monthly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China fertilizer export curbs (0 lifted / 1 in place / 2 tightened)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1</v>
      </c>
      <c r="K53" s="4">
        <f>J53*(I53-H53)/2</f>
        <v/>
      </c>
      <c r="L53" s="8" t="inlineStr">
        <is>
          <t>manual</t>
        </is>
      </c>
      <c r="M53" s="4" t="inlineStr">
        <is>
          <t>event</t>
        </is>
      </c>
      <c r="N53" s="4" t="inlineStr">
        <is>
          <t>live</t>
        </is>
      </c>
      <c r="O53" s="8" t="inlineStr">
        <is>
          <t>In place through late Aug 2026.</t>
        </is>
      </c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Hormuz/Gulf disruption to fertilizer inputs (0 clear / 1 disrupted / 2 cut)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/>
    </row>
    <row r="55">
      <c r="A55" s="4" t="inlineStr">
        <is>
          <t>The lithography (ASML) chokepoint</t>
        </is>
      </c>
      <c r="B55" s="4" t="inlineStr">
        <is>
          <t>s19_lithography</t>
        </is>
      </c>
      <c r="C55" s="4" t="inlineStr">
        <is>
          <t>Taiwan / cross-strait tension (0 calm / 1 elevated / 2 crisis)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1.5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Export-control escalation (0 stable / 1 tightening / 2 retaliation)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0.5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Single-point concentration (0 easing / 1 high / 2 extreme)</t>
        </is>
      </c>
      <c r="D57" s="7" t="n">
        <v>1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annual</t>
        </is>
      </c>
      <c r="N57" s="4" t="inlineStr">
        <is>
          <t>live</t>
        </is>
      </c>
      <c r="O57" s="8" t="inlineStr"/>
    </row>
    <row r="58">
      <c r="A58" s="4" t="inlineStr">
        <is>
          <t>Sea lanes &amp; undersea cables</t>
        </is>
      </c>
      <c r="B58" s="4" t="inlineStr">
        <is>
          <t>s20_sea_lanes</t>
        </is>
      </c>
      <c r="C58" s="4" t="inlineStr">
        <is>
          <t>Hormuz/Red Sea status (0 open / 1 contested / 2 closed)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2</v>
      </c>
      <c r="I58" s="4">
        <f>IF(D58&lt;=F58,0,IF(D58&lt;=G58,1,2))</f>
        <v/>
      </c>
      <c r="J58" s="4" t="n">
        <v>1</v>
      </c>
      <c r="K58" s="4">
        <f>J58*(I58-H58)/2</f>
        <v/>
      </c>
      <c r="L58" s="8" t="inlineStr">
        <is>
          <t>manual</t>
        </is>
      </c>
      <c r="M58" s="4" t="inlineStr">
        <is>
          <t>event</t>
        </is>
      </c>
      <c r="N58" s="4" t="inlineStr">
        <is>
          <t>live</t>
        </is>
      </c>
      <c r="O58" s="8" t="inlineStr">
        <is>
          <t>Closed for months in 2026; ceasefire slowly reopening.</t>
        </is>
      </c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WTI crude oil (USD/bbl, CL=F)</t>
        </is>
      </c>
      <c r="D59" s="7" t="n">
        <v>69.23</v>
      </c>
      <c r="E59" s="4" t="inlineStr">
        <is>
          <t>higher_worse</t>
        </is>
      </c>
      <c r="F59" s="4" t="n">
        <v>80</v>
      </c>
      <c r="G59" s="4" t="n">
        <v>100</v>
      </c>
      <c r="H59" s="4" t="n">
        <v>1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market:CL=F</t>
        </is>
      </c>
      <c r="M59" s="4" t="inlineStr">
        <is>
          <t>daily</t>
        </is>
      </c>
      <c r="N59" s="4" t="inlineStr">
        <is>
          <t>live</t>
        </is>
      </c>
      <c r="O59" s="8" t="inlineStr"/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Undersea cable incidents (0 none / 1 threatened / 2 cut)</t>
        </is>
      </c>
      <c r="D60" s="7" t="n">
        <v>1</v>
      </c>
      <c r="E60" s="4" t="inlineStr">
        <is>
          <t>higher_worse</t>
        </is>
      </c>
      <c r="F60" s="4" t="n">
        <v>0</v>
      </c>
      <c r="G60" s="4" t="n">
        <v>1</v>
      </c>
      <c r="H60" s="4" t="n">
        <v>1</v>
      </c>
      <c r="I60" s="4">
        <f>IF(D60&lt;=F60,0,IF(D60&lt;=G60,1,2))</f>
        <v/>
      </c>
      <c r="J60" s="4" t="n">
        <v>0.5</v>
      </c>
      <c r="K60" s="4">
        <f>J60*(I60-H60)/2</f>
        <v/>
      </c>
      <c r="L60" s="8" t="inlineStr">
        <is>
          <t>manual</t>
        </is>
      </c>
      <c r="M60" s="4" t="inlineStr">
        <is>
          <t>event</t>
        </is>
      </c>
      <c r="N60" s="4" t="inlineStr">
        <is>
          <t>live</t>
        </is>
      </c>
      <c r="O60" s="8" t="inlineStr"/>
    </row>
    <row r="61">
      <c r="A61" s="4" t="inlineStr">
        <is>
          <t>Clearinghouses (financial chokepoint)</t>
        </is>
      </c>
      <c r="B61" s="4" t="inlineStr">
        <is>
          <t>s21_clearinghouses</t>
        </is>
      </c>
      <c r="C61" s="4" t="inlineStr">
        <is>
          <t>Equity volatility (VIX)</t>
        </is>
      </c>
      <c r="D61" s="7" t="n">
        <v>18.41</v>
      </c>
      <c r="E61" s="4" t="inlineStr">
        <is>
          <t>higher_worse</t>
        </is>
      </c>
      <c r="F61" s="4" t="n">
        <v>20</v>
      </c>
      <c r="G61" s="4" t="n">
        <v>30</v>
      </c>
      <c r="H61" s="4" t="n">
        <v>0</v>
      </c>
      <c r="I61" s="4">
        <f>IF(D61&lt;=F61,0,IF(D61&lt;=G61,1,2))</f>
        <v/>
      </c>
      <c r="J61" s="4" t="n">
        <v>1</v>
      </c>
      <c r="K61" s="4">
        <f>J61*(I61-H61)/2</f>
        <v/>
      </c>
      <c r="L61" s="8" t="inlineStr">
        <is>
          <t>market:^VIX</t>
        </is>
      </c>
      <c r="M61" s="4" t="inlineStr">
        <is>
          <t>daily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Treasury volatility (MOVE)</t>
        </is>
      </c>
      <c r="D62" s="7" t="n">
        <v>66.79000000000001</v>
      </c>
      <c r="E62" s="4" t="inlineStr">
        <is>
          <t>higher_worse</t>
        </is>
      </c>
      <c r="F62" s="4" t="n">
        <v>100</v>
      </c>
      <c r="G62" s="4" t="n">
        <v>130</v>
      </c>
      <c r="H62" s="4" t="n">
        <v>0</v>
      </c>
      <c r="I62" s="4">
        <f>IF(D62&lt;=F62,0,IF(D62&lt;=G62,1,2))</f>
        <v/>
      </c>
      <c r="J62" s="4" t="n">
        <v>0.5</v>
      </c>
      <c r="K62" s="4">
        <f>J62*(I62-H62)/2</f>
        <v/>
      </c>
      <c r="L62" s="8" t="inlineStr">
        <is>
          <t>market:^MOVE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Treasury-clearing rollout stress (0 smooth / 1 friction / 2 problems)</t>
        </is>
      </c>
      <c r="D63" s="7" t="n">
        <v>0</v>
      </c>
      <c r="E63" s="4" t="inlineStr">
        <is>
          <t>higher_worse</t>
        </is>
      </c>
      <c r="F63" s="4" t="n">
        <v>0</v>
      </c>
      <c r="G63" s="4" t="n">
        <v>1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manual</t>
        </is>
      </c>
      <c r="M63" s="4" t="inlineStr">
        <is>
          <t>event</t>
        </is>
      </c>
      <c r="N63" s="4" t="inlineStr">
        <is>
          <t>live</t>
        </is>
      </c>
      <c r="O63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</row>
    <row r="2">
      <c r="A2" s="9" t="inlineStr">
        <is>
          <t>2026-06-28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2026-06-28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2026-06-28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2026-06-28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1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2026-06-28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1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2026-06-28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1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2026-06-28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2026-06-28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2026-06-28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2026-06-28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2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2026-06-28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2026-06-28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2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2026-06-28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2026-06-28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2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2026-06-28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3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2026-06-28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3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2026-06-28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3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2026-06-28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3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2026-06-28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3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2026-06-28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3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2026-06-28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3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2026-06-28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2026-06-28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2026-06-28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2026-06-28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1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2026-06-28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1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2026-06-28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1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2026-06-28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2026-06-28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2026-06-28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2026-06-28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2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2026-06-28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2026-06-28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2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2026-06-28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2026-06-28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2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2026-06-28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3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2026-06-28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3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2026-06-28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3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2026-06-28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3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2026-06-28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3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2026-06-28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3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2026-06-28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3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(2026-06-28) ---</t>
        </is>
      </c>
    </row>
    <row r="14">
      <c r="A14" s="12" t="inlineStr">
        <is>
          <t># EOD Macro-Risk Brief | 28 June 2026</t>
        </is>
      </c>
    </row>
    <row r="15">
      <c r="A15" s="12" t="inlineStr"/>
    </row>
    <row r="16">
      <c r="A16" s="12" t="inlineStr">
        <is>
          <t>**Headline:** Macro risk stable at 5.0/10 with 14 elevated stories and one de-escalation.</t>
        </is>
      </c>
    </row>
    <row r="17">
      <c r="A17" s="12" t="inlineStr"/>
    </row>
    <row r="18">
      <c r="A18" s="12" t="inlineStr">
        <is>
          <t>**Level Changes:**</t>
        </is>
      </c>
    </row>
    <row r="19">
      <c r="A19" s="12" t="inlineStr">
        <is>
          <t>• **Sea lanes &amp; undersea cables** (7→6, Elevated): WTI crude fell 50¢ to $69.23/bbl, reducing energy-driven geopolitical pressure on maritime routes and critical infrastructure.</t>
        </is>
      </c>
    </row>
    <row r="20">
      <c r="A20" s="12" t="inlineStr"/>
    </row>
    <row r="21">
      <c r="A21" s="12" t="inlineStr">
        <is>
          <t>**Elevated Stories to Monitor (14 total):**</t>
        </is>
      </c>
    </row>
    <row r="22">
      <c r="A22" s="12" t="inlineStr">
        <is>
          <t>Nine financial-system risks span Treasury basis trades, Japan's JGB/carry exposure, opaque private credit, developing-world debt, CRE maturity walls, and hidden consumer leverage. Six supply-chain and structural risks include China's export deflation, critical minerals weaponization, AI financing circularity, lithography chokepoints, power-grid bottlenecks, and food-fertilizer fragility. Insurance retreat compounds tail-risk exposure.</t>
        </is>
      </c>
    </row>
    <row r="23">
      <c r="A23" s="12" t="inlineStr"/>
    </row>
    <row r="24">
      <c r="A24" s="12" t="inlineStr">
        <is>
          <t>**Watch:** Japan fiscal/JGB/carry trade (level 6) remains the highest-risk trigger for rapid deleveraging across global markets.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2026-06-28T17:17:00Z</dcterms:created>
  <dcterms:modified xsi:type="dcterms:W3CDTF">2026-06-28T17:17:00Z</dcterms:modified>
</cp:coreProperties>
</file>