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Indicators" sheetId="2" state="visible" r:id="rId2"/>
    <sheet name="Daily Log" sheetId="3" state="visible" r:id="rId3"/>
    <sheet name="Methodolog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sz val="9"/>
    </font>
    <font>
      <name val="Arial"/>
      <b val="1"/>
      <color rgb="001F4E79"/>
      <sz val="16"/>
    </font>
    <font>
      <name val="Arial"/>
      <i val="1"/>
      <color rgb="00595959"/>
    </font>
    <font>
      <name val="Arial"/>
      <b val="1"/>
    </font>
    <font>
      <name val="Arial"/>
      <b val="1"/>
      <color rgb="001F4E79"/>
    </font>
    <font>
      <name val="Arial"/>
      <color rgb="0000000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7" fillId="0" borderId="1" pivotButton="0" quotePrefix="0" xfId="0"/>
    <xf numFmtId="0" fontId="7" fillId="0" borderId="0" pivotButton="0" quotePrefix="0" xfId="0"/>
    <xf numFmtId="0" fontId="3" fillId="0" borderId="1" pivotButton="0" quotePrefix="0" xfId="0"/>
    <xf numFmtId="0" fontId="4" fillId="0" borderId="1" pivotButton="0" quotePrefix="0" xfId="0"/>
    <xf numFmtId="0" fontId="2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2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6" customWidth="1" min="3" max="3"/>
    <col width="7" customWidth="1" min="4" max="4"/>
    <col width="13" customWidth="1" min="5" max="5"/>
    <col width="12" customWidth="1" min="6" max="6"/>
    <col width="12" customWidth="1" min="7" max="7"/>
  </cols>
  <sheetData>
    <row r="1">
      <c r="A1" s="1" t="inlineStr">
        <is>
          <t>GLOBAL MACRO RISK TRACKER</t>
        </is>
      </c>
    </row>
    <row r="2">
      <c r="A2" s="2" t="inlineStr">
        <is>
          <t>As of 2026-06-29  -  generated 2026-06-29 17:42 UTC  -  levels recalculated from the Indicators tab</t>
        </is>
      </c>
    </row>
    <row r="4">
      <c r="A4" s="3" t="inlineStr">
        <is>
          <t>Story</t>
        </is>
      </c>
      <c r="B4" s="3" t="inlineStr">
        <is>
          <t>Story ID</t>
        </is>
      </c>
      <c r="C4" s="3" t="inlineStr">
        <is>
          <t>Set</t>
        </is>
      </c>
      <c r="D4" s="3" t="inlineStr">
        <is>
          <t>Base</t>
        </is>
      </c>
      <c r="E4" s="3" t="inlineStr">
        <is>
          <t>Indicator adj.</t>
        </is>
      </c>
      <c r="F4" s="3" t="inlineStr">
        <is>
          <t>Level (1-10)</t>
        </is>
      </c>
      <c r="G4" s="3" t="inlineStr">
        <is>
          <t>Band</t>
        </is>
      </c>
    </row>
    <row r="5">
      <c r="A5" s="4" t="inlineStr">
        <is>
          <t>Treasury basis trade (hidden leverage)</t>
        </is>
      </c>
      <c r="B5" s="4" t="inlineStr">
        <is>
          <t>s1_basis_trade</t>
        </is>
      </c>
      <c r="C5" s="4" t="n">
        <v>1</v>
      </c>
      <c r="D5" s="4" t="n">
        <v>5</v>
      </c>
      <c r="E5" s="4">
        <f>ROUND(SUMIF(Indicators!$B:$B,B5,Indicators!$K:$K),2)</f>
        <v/>
      </c>
      <c r="F5" s="5">
        <f>MEDIAN(1,10,ROUND(D5+E5,0))</f>
        <v/>
      </c>
      <c r="G5" s="4">
        <f>IF(F5&lt;=2,"Low",IF(F5&lt;=4,"Moderate",IF(F5&lt;=6,"Elevated",IF(F5&lt;=8,"High","Severe"))))</f>
        <v/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n">
        <v>1</v>
      </c>
      <c r="D6" s="4" t="n">
        <v>6</v>
      </c>
      <c r="E6" s="4">
        <f>ROUND(SUMIF(Indicators!$B:$B,B6,Indicators!$K:$K),2)</f>
        <v/>
      </c>
      <c r="F6" s="5">
        <f>MEDIAN(1,10,ROUND(D6+E6,0))</f>
        <v/>
      </c>
      <c r="G6" s="4">
        <f>IF(F6&lt;=2,"Low",IF(F6&lt;=4,"Moderate",IF(F6&lt;=6,"Elevated",IF(F6&lt;=8,"High","Severe"))))</f>
        <v/>
      </c>
    </row>
    <row r="7">
      <c r="A7" s="4" t="inlineStr">
        <is>
          <t>Private credit's opaque expansion</t>
        </is>
      </c>
      <c r="B7" s="4" t="inlineStr">
        <is>
          <t>s3_private_credit</t>
        </is>
      </c>
      <c r="C7" s="4" t="n">
        <v>1</v>
      </c>
      <c r="D7" s="4" t="n">
        <v>5</v>
      </c>
      <c r="E7" s="4">
        <f>ROUND(SUMIF(Indicators!$B:$B,B7,Indicators!$K:$K),2)</f>
        <v/>
      </c>
      <c r="F7" s="5">
        <f>MEDIAN(1,10,ROUND(D7+E7,0))</f>
        <v/>
      </c>
      <c r="G7" s="4">
        <f>IF(F7&lt;=2,"Low",IF(F7&lt;=4,"Moderate",IF(F7&lt;=6,"Elevated",IF(F7&lt;=8,"High","Severe"))))</f>
        <v/>
      </c>
    </row>
    <row r="8">
      <c r="A8" s="4" t="inlineStr">
        <is>
          <t>Developing-world debt crisis</t>
        </is>
      </c>
      <c r="B8" s="4" t="inlineStr">
        <is>
          <t>s4_dev_debt</t>
        </is>
      </c>
      <c r="C8" s="4" t="n">
        <v>3</v>
      </c>
      <c r="D8" s="4" t="n">
        <v>5</v>
      </c>
      <c r="E8" s="4">
        <f>ROUND(SUMIF(Indicators!$B:$B,B8,Indicators!$K:$K),2)</f>
        <v/>
      </c>
      <c r="F8" s="5">
        <f>MEDIAN(1,10,ROUND(D8+E8,0))</f>
        <v/>
      </c>
      <c r="G8" s="4">
        <f>IF(F8&lt;=2,"Low",IF(F8&lt;=4,"Moderate",IF(F8&lt;=6,"Elevated",IF(F8&lt;=8,"High","Severe"))))</f>
        <v/>
      </c>
    </row>
    <row r="9">
      <c r="A9" s="4" t="inlineStr">
        <is>
          <t>China's exported deflation</t>
        </is>
      </c>
      <c r="B9" s="4" t="inlineStr">
        <is>
          <t>s5_china_deflation</t>
        </is>
      </c>
      <c r="C9" s="4" t="n">
        <v>4</v>
      </c>
      <c r="D9" s="4" t="n">
        <v>6</v>
      </c>
      <c r="E9" s="4">
        <f>ROUND(SUMIF(Indicators!$B:$B,B9,Indicators!$K:$K),2)</f>
        <v/>
      </c>
      <c r="F9" s="5">
        <f>MEDIAN(1,10,ROUND(D9+E9,0))</f>
        <v/>
      </c>
      <c r="G9" s="4">
        <f>IF(F9&lt;=2,"Low",IF(F9&lt;=4,"Moderate",IF(F9&lt;=6,"Elevated",IF(F9&lt;=8,"High","Severe"))))</f>
        <v/>
      </c>
    </row>
    <row r="10">
      <c r="A10" s="4" t="inlineStr">
        <is>
          <t>Critical minerals as a weapon</t>
        </is>
      </c>
      <c r="B10" s="4" t="inlineStr">
        <is>
          <t>s6_rare_earths</t>
        </is>
      </c>
      <c r="C10" s="4" t="n">
        <v>4</v>
      </c>
      <c r="D10" s="4" t="n">
        <v>6</v>
      </c>
      <c r="E10" s="4">
        <f>ROUND(SUMIF(Indicators!$B:$B,B10,Indicators!$K:$K),2)</f>
        <v/>
      </c>
      <c r="F10" s="5">
        <f>MEDIAN(1,10,ROUND(D10+E10,0))</f>
        <v/>
      </c>
      <c r="G10" s="4">
        <f>IF(F10&lt;=2,"Low",IF(F10&lt;=4,"Moderate",IF(F10&lt;=6,"Elevated",IF(F10&lt;=8,"High","Severe"))))</f>
        <v/>
      </c>
    </row>
    <row r="11">
      <c r="A11" s="4" t="inlineStr">
        <is>
          <t>Stablecoins &amp; Treasury demand</t>
        </is>
      </c>
      <c r="B11" s="4" t="inlineStr">
        <is>
          <t>s7_stablecoins</t>
        </is>
      </c>
      <c r="C11" s="4" t="n">
        <v>1</v>
      </c>
      <c r="D11" s="4" t="n">
        <v>4</v>
      </c>
      <c r="E11" s="4">
        <f>ROUND(SUMIF(Indicators!$B:$B,B11,Indicators!$K:$K),2)</f>
        <v/>
      </c>
      <c r="F11" s="5">
        <f>MEDIAN(1,10,ROUND(D11+E11,0))</f>
        <v/>
      </c>
      <c r="G11" s="4">
        <f>IF(F11&lt;=2,"Low",IF(F11&lt;=4,"Moderate",IF(F11&lt;=6,"Elevated",IF(F11&lt;=8,"High","Severe"))))</f>
        <v/>
      </c>
    </row>
    <row r="12">
      <c r="A12" s="4" t="inlineStr">
        <is>
          <t>AI build-out circular financing</t>
        </is>
      </c>
      <c r="B12" s="4" t="inlineStr">
        <is>
          <t>s8_ai_capex</t>
        </is>
      </c>
      <c r="C12" s="4" t="n">
        <v>2</v>
      </c>
      <c r="D12" s="4" t="n">
        <v>6</v>
      </c>
      <c r="E12" s="4">
        <f>ROUND(SUMIF(Indicators!$B:$B,B12,Indicators!$K:$K),2)</f>
        <v/>
      </c>
      <c r="F12" s="5">
        <f>MEDIAN(1,10,ROUND(D12+E12,0))</f>
        <v/>
      </c>
      <c r="G12" s="4">
        <f>IF(F12&lt;=2,"Low",IF(F12&lt;=4,"Moderate",IF(F12&lt;=6,"Elevated",IF(F12&lt;=8,"High","Severe"))))</f>
        <v/>
      </c>
    </row>
    <row r="13">
      <c r="A13" s="4" t="inlineStr">
        <is>
          <t>CRE maturity wall / regional banks</t>
        </is>
      </c>
      <c r="B13" s="4" t="inlineStr">
        <is>
          <t>s9_cre</t>
        </is>
      </c>
      <c r="C13" s="4" t="n">
        <v>2</v>
      </c>
      <c r="D13" s="4" t="n">
        <v>5</v>
      </c>
      <c r="E13" s="4">
        <f>ROUND(SUMIF(Indicators!$B:$B,B13,Indicators!$K:$K),2)</f>
        <v/>
      </c>
      <c r="F13" s="5">
        <f>MEDIAN(1,10,ROUND(D13+E13,0))</f>
        <v/>
      </c>
      <c r="G13" s="4">
        <f>IF(F13&lt;=2,"Low",IF(F13&lt;=4,"Moderate",IF(F13&lt;=6,"Elevated",IF(F13&lt;=8,"High","Severe"))))</f>
        <v/>
      </c>
    </row>
    <row r="14">
      <c r="A14" s="4" t="inlineStr">
        <is>
          <t>France / eurozone fragility</t>
        </is>
      </c>
      <c r="B14" s="4" t="inlineStr">
        <is>
          <t>s10_france</t>
        </is>
      </c>
      <c r="C14" s="4" t="n">
        <v>3</v>
      </c>
      <c r="D14" s="4" t="n">
        <v>4</v>
      </c>
      <c r="E14" s="4">
        <f>ROUND(SUMIF(Indicators!$B:$B,B14,Indicators!$K:$K),2)</f>
        <v/>
      </c>
      <c r="F14" s="5">
        <f>MEDIAN(1,10,ROUND(D14+E14,0))</f>
        <v/>
      </c>
      <c r="G14" s="4">
        <f>IF(F14&lt;=2,"Low",IF(F14&lt;=4,"Moderate",IF(F14&lt;=6,"Elevated",IF(F14&lt;=8,"High","Severe"))))</f>
        <v/>
      </c>
    </row>
    <row r="15">
      <c r="A15" s="4" t="inlineStr">
        <is>
          <t>Hidden consumer debt</t>
        </is>
      </c>
      <c r="B15" s="4" t="inlineStr">
        <is>
          <t>s11_consumer_debt</t>
        </is>
      </c>
      <c r="C15" s="4" t="n">
        <v>2</v>
      </c>
      <c r="D15" s="4" t="n">
        <v>5</v>
      </c>
      <c r="E15" s="4">
        <f>ROUND(SUMIF(Indicators!$B:$B,B15,Indicators!$K:$K),2)</f>
        <v/>
      </c>
      <c r="F15" s="5">
        <f>MEDIAN(1,10,ROUND(D15+E15,0))</f>
        <v/>
      </c>
      <c r="G15" s="4">
        <f>IF(F15&lt;=2,"Low",IF(F15&lt;=4,"Moderate",IF(F15&lt;=6,"Elevated",IF(F15&lt;=8,"High","Severe"))))</f>
        <v/>
      </c>
    </row>
    <row r="16">
      <c r="A16" s="4" t="inlineStr">
        <is>
          <t>Gold / de-dollarization</t>
        </is>
      </c>
      <c r="B16" s="4" t="inlineStr">
        <is>
          <t>s12_gold_dedollar</t>
        </is>
      </c>
      <c r="C16" s="4" t="n">
        <v>3</v>
      </c>
      <c r="D16" s="4" t="n">
        <v>3</v>
      </c>
      <c r="E16" s="4">
        <f>ROUND(SUMIF(Indicators!$B:$B,B16,Indicators!$K:$K),2)</f>
        <v/>
      </c>
      <c r="F16" s="5">
        <f>MEDIAN(1,10,ROUND(D16+E16,0))</f>
        <v/>
      </c>
      <c r="G16" s="4">
        <f>IF(F16&lt;=2,"Low",IF(F16&lt;=4,"Moderate",IF(F16&lt;=6,"Elevated",IF(F16&lt;=8,"High","Severe"))))</f>
        <v/>
      </c>
    </row>
    <row r="17">
      <c r="A17" s="4" t="inlineStr">
        <is>
          <t>Insurance retreat</t>
        </is>
      </c>
      <c r="B17" s="4" t="inlineStr">
        <is>
          <t>s13_insurance</t>
        </is>
      </c>
      <c r="C17" s="4" t="n">
        <v>2</v>
      </c>
      <c r="D17" s="4" t="n">
        <v>5</v>
      </c>
      <c r="E17" s="4">
        <f>ROUND(SUMIF(Indicators!$B:$B,B17,Indicators!$K:$K),2)</f>
        <v/>
      </c>
      <c r="F17" s="5">
        <f>MEDIAN(1,10,ROUND(D17+E17,0))</f>
        <v/>
      </c>
      <c r="G17" s="4">
        <f>IF(F17&lt;=2,"Low",IF(F17&lt;=4,"Moderate",IF(F17&lt;=6,"Elevated",IF(F17&lt;=8,"High","Severe"))))</f>
        <v/>
      </c>
    </row>
    <row r="18">
      <c r="A18" s="4" t="inlineStr">
        <is>
          <t>Pensions / demographics</t>
        </is>
      </c>
      <c r="B18" s="4" t="inlineStr">
        <is>
          <t>s14_pensions</t>
        </is>
      </c>
      <c r="C18" s="4" t="n">
        <v>3</v>
      </c>
      <c r="D18" s="4" t="n">
        <v>4</v>
      </c>
      <c r="E18" s="4">
        <f>ROUND(SUMIF(Indicators!$B:$B,B18,Indicators!$K:$K),2)</f>
        <v/>
      </c>
      <c r="F18" s="5">
        <f>MEDIAN(1,10,ROUND(D18+E18,0))</f>
        <v/>
      </c>
      <c r="G18" s="4">
        <f>IF(F18&lt;=2,"Low",IF(F18&lt;=4,"Moderate",IF(F18&lt;=6,"Elevated",IF(F18&lt;=8,"High","Severe"))))</f>
        <v/>
      </c>
    </row>
    <row r="19">
      <c r="A19" s="4" t="inlineStr">
        <is>
          <t>AI power &amp; the grid bottleneck</t>
        </is>
      </c>
      <c r="B19" s="4" t="inlineStr">
        <is>
          <t>s15_ai_power</t>
        </is>
      </c>
      <c r="C19" s="4" t="n">
        <v>5</v>
      </c>
      <c r="D19" s="4" t="n">
        <v>6</v>
      </c>
      <c r="E19" s="4">
        <f>ROUND(SUMIF(Indicators!$B:$B,B19,Indicators!$K:$K),2)</f>
        <v/>
      </c>
      <c r="F19" s="5">
        <f>MEDIAN(1,10,ROUND(D19+E19,0))</f>
        <v/>
      </c>
      <c r="G19" s="4">
        <f>IF(F19&lt;=2,"Low",IF(F19&lt;=4,"Moderate",IF(F19&lt;=6,"Elevated",IF(F19&lt;=8,"High","Severe"))))</f>
        <v/>
      </c>
    </row>
    <row r="20">
      <c r="A20" s="4" t="inlineStr">
        <is>
          <t>Copper &amp; the electrification deficit</t>
        </is>
      </c>
      <c r="B20" s="4" t="inlineStr">
        <is>
          <t>s16_copper</t>
        </is>
      </c>
      <c r="C20" s="4" t="n">
        <v>5</v>
      </c>
      <c r="D20" s="4" t="n">
        <v>4</v>
      </c>
      <c r="E20" s="4">
        <f>ROUND(SUMIF(Indicators!$B:$B,B20,Indicators!$K:$K),2)</f>
        <v/>
      </c>
      <c r="F20" s="5">
        <f>MEDIAN(1,10,ROUND(D20+E20,0))</f>
        <v/>
      </c>
      <c r="G20" s="4">
        <f>IF(F20&lt;=2,"Low",IF(F20&lt;=4,"Moderate",IF(F20&lt;=6,"Elevated",IF(F20&lt;=8,"High","Severe"))))</f>
        <v/>
      </c>
    </row>
    <row r="21">
      <c r="A21" s="4" t="inlineStr">
        <is>
          <t>Water - the underpriced input</t>
        </is>
      </c>
      <c r="B21" s="4" t="inlineStr">
        <is>
          <t>s17_water</t>
        </is>
      </c>
      <c r="C21" s="4" t="n">
        <v>5</v>
      </c>
      <c r="D21" s="4" t="n">
        <v>4</v>
      </c>
      <c r="E21" s="4">
        <f>ROUND(SUMIF(Indicators!$B:$B,B21,Indicators!$K:$K),2)</f>
        <v/>
      </c>
      <c r="F21" s="5">
        <f>MEDIAN(1,10,ROUND(D21+E21,0))</f>
        <v/>
      </c>
      <c r="G21" s="4">
        <f>IF(F21&lt;=2,"Low",IF(F21&lt;=4,"Moderate",IF(F21&lt;=6,"Elevated",IF(F21&lt;=8,"High","Severe"))))</f>
        <v/>
      </c>
    </row>
    <row r="22">
      <c r="A22" s="4" t="inlineStr">
        <is>
          <t>Food &amp; fertilizer fragility</t>
        </is>
      </c>
      <c r="B22" s="4" t="inlineStr">
        <is>
          <t>s18_food_fertilizer</t>
        </is>
      </c>
      <c r="C22" s="4" t="n">
        <v>5</v>
      </c>
      <c r="D22" s="4" t="n">
        <v>6</v>
      </c>
      <c r="E22" s="4">
        <f>ROUND(SUMIF(Indicators!$B:$B,B22,Indicators!$K:$K),2)</f>
        <v/>
      </c>
      <c r="F22" s="5">
        <f>MEDIAN(1,10,ROUND(D22+E22,0))</f>
        <v/>
      </c>
      <c r="G22" s="4">
        <f>IF(F22&lt;=2,"Low",IF(F22&lt;=4,"Moderate",IF(F22&lt;=6,"Elevated",IF(F22&lt;=8,"High","Severe"))))</f>
        <v/>
      </c>
    </row>
    <row r="23">
      <c r="A23" s="4" t="inlineStr">
        <is>
          <t>The lithography (ASML) chokepoint</t>
        </is>
      </c>
      <c r="B23" s="4" t="inlineStr">
        <is>
          <t>s19_lithography</t>
        </is>
      </c>
      <c r="C23" s="4" t="n">
        <v>4</v>
      </c>
      <c r="D23" s="4" t="n">
        <v>5</v>
      </c>
      <c r="E23" s="4">
        <f>ROUND(SUMIF(Indicators!$B:$B,B23,Indicators!$K:$K),2)</f>
        <v/>
      </c>
      <c r="F23" s="5">
        <f>MEDIAN(1,10,ROUND(D23+E23,0))</f>
        <v/>
      </c>
      <c r="G23" s="4">
        <f>IF(F23&lt;=2,"Low",IF(F23&lt;=4,"Moderate",IF(F23&lt;=6,"Elevated",IF(F23&lt;=8,"High","Severe"))))</f>
        <v/>
      </c>
    </row>
    <row r="24">
      <c r="A24" s="4" t="inlineStr">
        <is>
          <t>Sea lanes &amp; undersea cables</t>
        </is>
      </c>
      <c r="B24" s="4" t="inlineStr">
        <is>
          <t>s20_sea_lanes</t>
        </is>
      </c>
      <c r="C24" s="4" t="n">
        <v>4</v>
      </c>
      <c r="D24" s="4" t="n">
        <v>7</v>
      </c>
      <c r="E24" s="4">
        <f>ROUND(SUMIF(Indicators!$B:$B,B24,Indicators!$K:$K),2)</f>
        <v/>
      </c>
      <c r="F24" s="5">
        <f>MEDIAN(1,10,ROUND(D24+E24,0))</f>
        <v/>
      </c>
      <c r="G24" s="4">
        <f>IF(F24&lt;=2,"Low",IF(F24&lt;=4,"Moderate",IF(F24&lt;=6,"Elevated",IF(F24&lt;=8,"High","Severe"))))</f>
        <v/>
      </c>
    </row>
    <row r="25">
      <c r="A25" s="4" t="inlineStr">
        <is>
          <t>Clearinghouses (financial chokepoint)</t>
        </is>
      </c>
      <c r="B25" s="4" t="inlineStr">
        <is>
          <t>s21_clearinghouses</t>
        </is>
      </c>
      <c r="C25" s="4" t="n">
        <v>1</v>
      </c>
      <c r="D25" s="4" t="n">
        <v>4</v>
      </c>
      <c r="E25" s="4">
        <f>ROUND(SUMIF(Indicators!$B:$B,B25,Indicators!$K:$K),2)</f>
        <v/>
      </c>
      <c r="F25" s="5">
        <f>MEDIAN(1,10,ROUND(D25+E25,0))</f>
        <v/>
      </c>
      <c r="G25" s="4">
        <f>IF(F25&lt;=2,"Low",IF(F25&lt;=4,"Moderate",IF(F25&lt;=6,"Elevated",IF(F25&lt;=8,"High","Severe"))))</f>
        <v/>
      </c>
    </row>
    <row r="27">
      <c r="A27" s="6" t="inlineStr">
        <is>
          <t>Aggregate - Funding &amp; Leverage</t>
        </is>
      </c>
      <c r="F27" s="6">
        <f>ROUND(AVERAGEIF($C$5:$C$25,1,$F$5:$F$25),1)</f>
        <v/>
      </c>
    </row>
    <row r="28">
      <c r="A28" s="6" t="inlineStr">
        <is>
          <t>Aggregate - Credit, Consumers &amp; Valuations</t>
        </is>
      </c>
      <c r="F28" s="6">
        <f>ROUND(AVERAGEIF($C$5:$C$25,2,$F$5:$F$25),1)</f>
        <v/>
      </c>
    </row>
    <row r="29">
      <c r="A29" s="6" t="inlineStr">
        <is>
          <t>Aggregate - Sovereigns &amp; the Monetary Order</t>
        </is>
      </c>
      <c r="F29" s="6">
        <f>ROUND(AVERAGEIF($C$5:$C$25,3,$F$5:$F$25),1)</f>
        <v/>
      </c>
    </row>
    <row r="30">
      <c r="A30" s="6" t="inlineStr">
        <is>
          <t>Aggregate - Geoeconomics &amp; Trade Weapons</t>
        </is>
      </c>
      <c r="F30" s="6">
        <f>ROUND(AVERAGEIF($C$5:$C$25,4,$F$5:$F$25),1)</f>
        <v/>
      </c>
    </row>
    <row r="31">
      <c r="A31" s="6" t="inlineStr">
        <is>
          <t>Aggregate - Physical &amp; Resource Limits</t>
        </is>
      </c>
      <c r="F31" s="6">
        <f>ROUND(AVERAGEIF($C$5:$C$25,5,$F$5:$F$25),1)</f>
        <v/>
      </c>
    </row>
    <row r="32">
      <c r="A32" s="6" t="inlineStr">
        <is>
          <t>Aggregate - Overall</t>
        </is>
      </c>
      <c r="F32" s="6">
        <f>ROUND(AVERAGE($F$5:$F$25),1)</f>
        <v/>
      </c>
    </row>
  </sheetData>
  <conditionalFormatting sqref="F5:F25">
    <cfRule type="colorScale" priority="1">
      <colorScale>
        <cfvo type="num" val="1"/>
        <cfvo type="num" val="5"/>
        <cfvo type="num" val="10"/>
        <color rgb="002E7D32"/>
        <color rgb="00F5A623"/>
        <color rgb="00C0392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34" customWidth="1" min="3" max="3"/>
    <col width="11" customWidth="1" min="4" max="4"/>
    <col width="13" customWidth="1" min="5" max="5"/>
    <col width="8" customWidth="1" min="6" max="6"/>
    <col width="8" customWidth="1" min="7" max="7"/>
    <col width="12" customWidth="1" min="8" max="8"/>
    <col width="12" customWidth="1" min="9" max="9"/>
    <col width="8" customWidth="1" min="10" max="10"/>
    <col width="8" customWidth="1" min="11" max="11"/>
    <col width="22" customWidth="1" min="12" max="12"/>
    <col width="11" customWidth="1" min="13" max="13"/>
    <col width="14" customWidth="1" min="14" max="14"/>
    <col width="30" customWidth="1" min="15" max="15"/>
  </cols>
  <sheetData>
    <row r="1">
      <c r="A1" s="3" t="inlineStr">
        <is>
          <t>Story</t>
        </is>
      </c>
      <c r="B1" s="3" t="inlineStr">
        <is>
          <t>Story ID</t>
        </is>
      </c>
      <c r="C1" s="3" t="inlineStr">
        <is>
          <t>Indicator</t>
        </is>
      </c>
      <c r="D1" s="3" t="inlineStr">
        <is>
          <t>Value</t>
        </is>
      </c>
      <c r="E1" s="3" t="inlineStr">
        <is>
          <t>Direction</t>
        </is>
      </c>
      <c r="F1" s="3" t="inlineStr">
        <is>
          <t>Good</t>
        </is>
      </c>
      <c r="G1" s="3" t="inlineStr">
        <is>
          <t>Warn</t>
        </is>
      </c>
      <c r="H1" s="3" t="inlineStr">
        <is>
          <t>Baseline band</t>
        </is>
      </c>
      <c r="I1" s="3" t="inlineStr">
        <is>
          <t>Current band</t>
        </is>
      </c>
      <c r="J1" s="3" t="inlineStr">
        <is>
          <t>Weight</t>
        </is>
      </c>
      <c r="K1" s="3" t="inlineStr">
        <is>
          <t>Delta</t>
        </is>
      </c>
      <c r="L1" s="3" t="inlineStr">
        <is>
          <t>Source</t>
        </is>
      </c>
      <c r="M1" s="3" t="inlineStr">
        <is>
          <t>Cadence</t>
        </is>
      </c>
      <c r="N1" s="3" t="inlineStr">
        <is>
          <t>Last updated</t>
        </is>
      </c>
      <c r="O1" s="3" t="inlineStr">
        <is>
          <t>Note</t>
        </is>
      </c>
    </row>
    <row r="2">
      <c r="A2" s="4" t="inlineStr">
        <is>
          <t>Treasury basis trade (hidden leverage)</t>
        </is>
      </c>
      <c r="B2" s="4" t="inlineStr">
        <is>
          <t>s1_basis_trade</t>
        </is>
      </c>
      <c r="C2" s="4" t="inlineStr">
        <is>
          <t>SOFR minus EFFR (bps)</t>
        </is>
      </c>
      <c r="D2" s="7" t="n">
        <v>0.02</v>
      </c>
      <c r="E2" s="4" t="inlineStr">
        <is>
          <t>higher_worse</t>
        </is>
      </c>
      <c r="F2" s="4" t="n">
        <v>0.05</v>
      </c>
      <c r="G2" s="4" t="n">
        <v>0.15</v>
      </c>
      <c r="H2" s="4" t="n">
        <v>0</v>
      </c>
      <c r="I2" s="4">
        <f>IF(D2&lt;=F2,0,IF(D2&lt;=G2,1,2))</f>
        <v/>
      </c>
      <c r="J2" s="4" t="n">
        <v>1</v>
      </c>
      <c r="K2" s="4">
        <f>J2*(I2-H2)/2</f>
        <v/>
      </c>
      <c r="L2" s="8" t="inlineStr">
        <is>
          <t>fred_spread:SOFR:EFFR</t>
        </is>
      </c>
      <c r="M2" s="4" t="inlineStr">
        <is>
          <t>daily</t>
        </is>
      </c>
      <c r="N2" s="4" t="inlineStr">
        <is>
          <t>baseline</t>
        </is>
      </c>
      <c r="O2" s="8" t="inlineStr">
        <is>
          <t>Overnight funding stress proxy (value in percentage points).</t>
        </is>
      </c>
    </row>
    <row r="3">
      <c r="A3" s="4" t="inlineStr">
        <is>
          <t>Treasury basis trade (hidden leverage)</t>
        </is>
      </c>
      <c r="B3" s="4" t="inlineStr">
        <is>
          <t>s1_basis_trade</t>
        </is>
      </c>
      <c r="C3" s="4" t="inlineStr">
        <is>
          <t>MOVE index (Treasury volatility)</t>
        </is>
      </c>
      <c r="D3" s="7" t="n">
        <v>66.79000000000001</v>
      </c>
      <c r="E3" s="4" t="inlineStr">
        <is>
          <t>higher_worse</t>
        </is>
      </c>
      <c r="F3" s="4" t="n">
        <v>100</v>
      </c>
      <c r="G3" s="4" t="n">
        <v>130</v>
      </c>
      <c r="H3" s="4" t="n">
        <v>0</v>
      </c>
      <c r="I3" s="4">
        <f>IF(D3&lt;=F3,0,IF(D3&lt;=G3,1,2))</f>
        <v/>
      </c>
      <c r="J3" s="4" t="n">
        <v>1.5</v>
      </c>
      <c r="K3" s="4">
        <f>J3*(I3-H3)/2</f>
        <v/>
      </c>
      <c r="L3" s="8" t="inlineStr">
        <is>
          <t>market:^MOVE</t>
        </is>
      </c>
      <c r="M3" s="4" t="inlineStr">
        <is>
          <t>daily</t>
        </is>
      </c>
      <c r="N3" s="4" t="inlineStr">
        <is>
          <t>live</t>
        </is>
      </c>
      <c r="O3" s="8" t="inlineStr">
        <is>
          <t>Trigger for margin/haircut doom loops.</t>
        </is>
      </c>
    </row>
    <row r="4">
      <c r="A4" s="4" t="inlineStr">
        <is>
          <t>Treasury basis trade (hidden leverage)</t>
        </is>
      </c>
      <c r="B4" s="4" t="inlineStr">
        <is>
          <t>s1_basis_trade</t>
        </is>
      </c>
      <c r="C4" s="4" t="inlineStr">
        <is>
          <t>SEC central clearing on track (0 ok / 1 slipping / 2 delayed)</t>
        </is>
      </c>
      <c r="D4" s="7" t="n">
        <v>1</v>
      </c>
      <c r="E4" s="4" t="inlineStr">
        <is>
          <t>higher_worse</t>
        </is>
      </c>
      <c r="F4" s="4" t="n">
        <v>0</v>
      </c>
      <c r="G4" s="4" t="n">
        <v>1</v>
      </c>
      <c r="H4" s="4" t="n">
        <v>0</v>
      </c>
      <c r="I4" s="4">
        <f>IF(D4&lt;=F4,0,IF(D4&lt;=G4,1,2))</f>
        <v/>
      </c>
      <c r="J4" s="4" t="n">
        <v>1</v>
      </c>
      <c r="K4" s="4">
        <f>J4*(I4-H4)/2</f>
        <v/>
      </c>
      <c r="L4" s="8" t="inlineStr">
        <is>
          <t>manual</t>
        </is>
      </c>
      <c r="M4" s="4" t="inlineStr">
        <is>
          <t>event</t>
        </is>
      </c>
      <c r="N4" s="4" t="inlineStr">
        <is>
          <t>live</t>
        </is>
      </c>
      <c r="O4" s="8" t="inlineStr">
        <is>
          <t>Cash clearing end-2026, repo mid-2027.</t>
        </is>
      </c>
    </row>
    <row r="5">
      <c r="A5" s="4" t="inlineStr">
        <is>
          <t>Japan fiscal / JGB / carry trade</t>
        </is>
      </c>
      <c r="B5" s="4" t="inlineStr">
        <is>
          <t>s2_japan</t>
        </is>
      </c>
      <c r="C5" s="4" t="inlineStr">
        <is>
          <t>USD/JPY (yen strengthening = lower = risk)</t>
        </is>
      </c>
      <c r="D5" s="7" t="n">
        <v>161.956</v>
      </c>
      <c r="E5" s="4" t="inlineStr">
        <is>
          <t>lower_worse</t>
        </is>
      </c>
      <c r="F5" s="4" t="n">
        <v>148</v>
      </c>
      <c r="G5" s="4" t="n">
        <v>142</v>
      </c>
      <c r="H5" s="4" t="n">
        <v>0</v>
      </c>
      <c r="I5" s="4">
        <f>IF(D5&gt;=F5,0,IF(D5&gt;=G5,1,2))</f>
        <v/>
      </c>
      <c r="J5" s="4" t="n">
        <v>1.5</v>
      </c>
      <c r="K5" s="4">
        <f>J5*(I5-H5)/2</f>
        <v/>
      </c>
      <c r="L5" s="8" t="inlineStr">
        <is>
          <t>market:JPY=X</t>
        </is>
      </c>
      <c r="M5" s="4" t="inlineStr">
        <is>
          <t>daily</t>
        </is>
      </c>
      <c r="N5" s="4" t="inlineStr">
        <is>
          <t>live</t>
        </is>
      </c>
      <c r="O5" s="8" t="inlineStr">
        <is>
          <t>Carry-unwind signature is a fast yen surge.</t>
        </is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inlineStr">
        <is>
          <t>30-year JGB yield (%)</t>
        </is>
      </c>
      <c r="D6" s="7" t="n">
        <v>3.88</v>
      </c>
      <c r="E6" s="4" t="inlineStr">
        <is>
          <t>higher_worse</t>
        </is>
      </c>
      <c r="F6" s="4" t="n">
        <v>3.4</v>
      </c>
      <c r="G6" s="4" t="n">
        <v>3.9</v>
      </c>
      <c r="H6" s="4" t="n">
        <v>0</v>
      </c>
      <c r="I6" s="4">
        <f>IF(D6&lt;=F6,0,IF(D6&lt;=G6,1,2))</f>
        <v/>
      </c>
      <c r="J6" s="4" t="n">
        <v>1</v>
      </c>
      <c r="K6" s="4">
        <f>J6*(I6-H6)/2</f>
        <v/>
      </c>
      <c r="L6" s="8" t="inlineStr">
        <is>
          <t>manual</t>
        </is>
      </c>
      <c r="M6" s="4" t="inlineStr">
        <is>
          <t>daily</t>
        </is>
      </c>
      <c r="N6" s="4" t="inlineStr">
        <is>
          <t>live</t>
        </is>
      </c>
      <c r="O6" s="8" t="inlineStr">
        <is>
          <t>Record 3.875% set Jan 2026.</t>
        </is>
      </c>
    </row>
    <row r="7">
      <c r="A7" s="4" t="inlineStr">
        <is>
          <t>Japan fiscal / JGB / carry trade</t>
        </is>
      </c>
      <c r="B7" s="4" t="inlineStr">
        <is>
          <t>s2_japan</t>
        </is>
      </c>
      <c r="C7" s="4" t="inlineStr">
        <is>
          <t>Takaichi plan financing clarity (0 ok / 1 unclear / 2 disorderly)</t>
        </is>
      </c>
      <c r="D7" s="7" t="n">
        <v>1</v>
      </c>
      <c r="E7" s="4" t="inlineStr">
        <is>
          <t>higher_worse</t>
        </is>
      </c>
      <c r="F7" s="4" t="n">
        <v>0</v>
      </c>
      <c r="G7" s="4" t="n">
        <v>1</v>
      </c>
      <c r="H7" s="4" t="n">
        <v>1</v>
      </c>
      <c r="I7" s="4">
        <f>IF(D7&lt;=F7,0,IF(D7&lt;=G7,1,2))</f>
        <v/>
      </c>
      <c r="J7" s="4" t="n">
        <v>1</v>
      </c>
      <c r="K7" s="4">
        <f>J7*(I7-H7)/2</f>
        <v/>
      </c>
      <c r="L7" s="8" t="inlineStr">
        <is>
          <t>manual</t>
        </is>
      </c>
      <c r="M7" s="4" t="inlineStr">
        <is>
          <t>event</t>
        </is>
      </c>
      <c r="N7" s="4" t="inlineStr">
        <is>
          <t>live</t>
        </is>
      </c>
      <c r="O7" s="8" t="inlineStr"/>
    </row>
    <row r="8">
      <c r="A8" s="4" t="inlineStr">
        <is>
          <t>Private credit's opaque expansion</t>
        </is>
      </c>
      <c r="B8" s="4" t="inlineStr">
        <is>
          <t>s3_private_credit</t>
        </is>
      </c>
      <c r="C8" s="4" t="inlineStr">
        <is>
          <t>US high-yield OAS (bps)</t>
        </is>
      </c>
      <c r="D8" s="7" t="n">
        <v>3.1</v>
      </c>
      <c r="E8" s="4" t="inlineStr">
        <is>
          <t>higher_worse</t>
        </is>
      </c>
      <c r="F8" s="4" t="n">
        <v>3.6</v>
      </c>
      <c r="G8" s="4" t="n">
        <v>5</v>
      </c>
      <c r="H8" s="4" t="n">
        <v>0</v>
      </c>
      <c r="I8" s="4">
        <f>IF(D8&lt;=F8,0,IF(D8&lt;=G8,1,2))</f>
        <v/>
      </c>
      <c r="J8" s="4" t="n">
        <v>1</v>
      </c>
      <c r="K8" s="4">
        <f>J8*(I8-H8)/2</f>
        <v/>
      </c>
      <c r="L8" s="8" t="inlineStr">
        <is>
          <t>fred:BAMLH0A0HYM2</t>
        </is>
      </c>
      <c r="M8" s="4" t="inlineStr">
        <is>
          <t>daily</t>
        </is>
      </c>
      <c r="N8" s="4" t="inlineStr">
        <is>
          <t>baseline</t>
        </is>
      </c>
      <c r="O8" s="8" t="inlineStr">
        <is>
          <t>FRED quotes in percent; 3.6 = 360bps.</t>
        </is>
      </c>
    </row>
    <row r="9">
      <c r="A9" s="4" t="inlineStr">
        <is>
          <t>Private credit's opaque expansion</t>
        </is>
      </c>
      <c r="B9" s="4" t="inlineStr">
        <is>
          <t>s3_private_credit</t>
        </is>
      </c>
      <c r="C9" s="4" t="inlineStr">
        <is>
          <t>Direct-lending default rate (%)</t>
        </is>
      </c>
      <c r="D9" s="7" t="n">
        <v>2.73</v>
      </c>
      <c r="E9" s="4" t="inlineStr">
        <is>
          <t>higher_worse</t>
        </is>
      </c>
      <c r="F9" s="4" t="n">
        <v>3</v>
      </c>
      <c r="G9" s="4" t="n">
        <v>5</v>
      </c>
      <c r="H9" s="4" t="n">
        <v>0</v>
      </c>
      <c r="I9" s="4">
        <f>IF(D9&lt;=F9,0,IF(D9&lt;=G9,1,2))</f>
        <v/>
      </c>
      <c r="J9" s="4" t="n">
        <v>1.5</v>
      </c>
      <c r="K9" s="4">
        <f>J9*(I9-H9)/2</f>
        <v/>
      </c>
      <c r="L9" s="8" t="inlineStr">
        <is>
          <t>manual</t>
        </is>
      </c>
      <c r="M9" s="4" t="inlineStr">
        <is>
          <t>quarterly</t>
        </is>
      </c>
      <c r="N9" s="4" t="inlineStr">
        <is>
          <t>live</t>
        </is>
      </c>
      <c r="O9" s="8" t="inlineStr">
        <is>
          <t>Morgan Stanley flagged a possible move toward 8%.</t>
        </is>
      </c>
    </row>
    <row r="10">
      <c r="A10" s="4" t="inlineStr">
        <is>
          <t>Private credit's opaque expansion</t>
        </is>
      </c>
      <c r="B10" s="4" t="inlineStr">
        <is>
          <t>s3_private_credit</t>
        </is>
      </c>
      <c r="C10" s="4" t="inlineStr">
        <is>
          <t>Large-fund redemption gates (0 none / 1 isolated / 2 widespread)</t>
        </is>
      </c>
      <c r="D10" s="7" t="n">
        <v>2</v>
      </c>
      <c r="E10" s="4" t="inlineStr">
        <is>
          <t>higher_worse</t>
        </is>
      </c>
      <c r="F10" s="4" t="n">
        <v>0</v>
      </c>
      <c r="G10" s="4" t="n">
        <v>1</v>
      </c>
      <c r="H10" s="4" t="n">
        <v>0</v>
      </c>
      <c r="I10" s="4">
        <f>IF(D10&lt;=F10,0,IF(D10&lt;=G10,1,2))</f>
        <v/>
      </c>
      <c r="J10" s="4" t="n">
        <v>1</v>
      </c>
      <c r="K10" s="4">
        <f>J10*(I10-H10)/2</f>
        <v/>
      </c>
      <c r="L10" s="8" t="inlineStr">
        <is>
          <t>manual</t>
        </is>
      </c>
      <c r="M10" s="4" t="inlineStr">
        <is>
          <t>event</t>
        </is>
      </c>
      <c r="N10" s="4" t="inlineStr">
        <is>
          <t>live</t>
        </is>
      </c>
      <c r="O10" s="8" t="inlineStr"/>
    </row>
    <row r="11">
      <c r="A11" s="4" t="inlineStr">
        <is>
          <t>Developing-world debt crisis</t>
        </is>
      </c>
      <c r="B11" s="4" t="inlineStr">
        <is>
          <t>s4_dev_debt</t>
        </is>
      </c>
      <c r="C11" s="4" t="inlineStr">
        <is>
          <t>Broad US dollar index (FRED DTWEXBGS)</t>
        </is>
      </c>
      <c r="D11" s="7" t="n">
        <v>121</v>
      </c>
      <c r="E11" s="4" t="inlineStr">
        <is>
          <t>higher_worse</t>
        </is>
      </c>
      <c r="F11" s="4" t="n">
        <v>122</v>
      </c>
      <c r="G11" s="4" t="n">
        <v>128</v>
      </c>
      <c r="H11" s="4" t="n">
        <v>0</v>
      </c>
      <c r="I11" s="4">
        <f>IF(D11&lt;=F11,0,IF(D11&lt;=G11,1,2))</f>
        <v/>
      </c>
      <c r="J11" s="4" t="n">
        <v>1</v>
      </c>
      <c r="K11" s="4">
        <f>J11*(I11-H11)/2</f>
        <v/>
      </c>
      <c r="L11" s="8" t="inlineStr">
        <is>
          <t>fred:DTWEXBGS</t>
        </is>
      </c>
      <c r="M11" s="4" t="inlineStr">
        <is>
          <t>daily</t>
        </is>
      </c>
      <c r="N11" s="4" t="inlineStr">
        <is>
          <t>baseline</t>
        </is>
      </c>
      <c r="O11" s="8" t="inlineStr">
        <is>
          <t>Stronger dollar raises FX-debt servicing cost.</t>
        </is>
      </c>
    </row>
    <row r="12">
      <c r="A12" s="4" t="inlineStr">
        <is>
          <t>Developing-world debt crisis</t>
        </is>
      </c>
      <c r="B12" s="4" t="inlineStr">
        <is>
          <t>s4_dev_debt</t>
        </is>
      </c>
      <c r="C12" s="4" t="inlineStr">
        <is>
          <t>US 10y real yield (TIPS, %)</t>
        </is>
      </c>
      <c r="D12" s="7" t="n">
        <v>2</v>
      </c>
      <c r="E12" s="4" t="inlineStr">
        <is>
          <t>higher_worse</t>
        </is>
      </c>
      <c r="F12" s="4" t="n">
        <v>2.2</v>
      </c>
      <c r="G12" s="4" t="n">
        <v>2.8</v>
      </c>
      <c r="H12" s="4" t="n">
        <v>0</v>
      </c>
      <c r="I12" s="4">
        <f>IF(D12&lt;=F12,0,IF(D12&lt;=G12,1,2))</f>
        <v/>
      </c>
      <c r="J12" s="4" t="n">
        <v>1</v>
      </c>
      <c r="K12" s="4">
        <f>J12*(I12-H12)/2</f>
        <v/>
      </c>
      <c r="L12" s="8" t="inlineStr">
        <is>
          <t>fred:DFII10</t>
        </is>
      </c>
      <c r="M12" s="4" t="inlineStr">
        <is>
          <t>daily</t>
        </is>
      </c>
      <c r="N12" s="4" t="inlineStr">
        <is>
          <t>baseline</t>
        </is>
      </c>
      <c r="O12" s="8" t="inlineStr"/>
    </row>
    <row r="13">
      <c r="A13" s="4" t="inlineStr">
        <is>
          <t>Developing-world debt crisis</t>
        </is>
      </c>
      <c r="B13" s="4" t="inlineStr">
        <is>
          <t>s4_dev_debt</t>
        </is>
      </c>
      <c r="C13" s="4" t="inlineStr">
        <is>
          <t>New IMF programs / missed coupons (0 calm / 1 rising / 2 cluster)</t>
        </is>
      </c>
      <c r="D13" s="7" t="n">
        <v>1</v>
      </c>
      <c r="E13" s="4" t="inlineStr">
        <is>
          <t>higher_worse</t>
        </is>
      </c>
      <c r="F13" s="4" t="n">
        <v>0</v>
      </c>
      <c r="G13" s="4" t="n">
        <v>1</v>
      </c>
      <c r="H13" s="4" t="n">
        <v>1</v>
      </c>
      <c r="I13" s="4">
        <f>IF(D13&lt;=F13,0,IF(D13&lt;=G13,1,2))</f>
        <v/>
      </c>
      <c r="J13" s="4" t="n">
        <v>1</v>
      </c>
      <c r="K13" s="4">
        <f>J13*(I13-H13)/2</f>
        <v/>
      </c>
      <c r="L13" s="8" t="inlineStr">
        <is>
          <t>manual</t>
        </is>
      </c>
      <c r="M13" s="4" t="inlineStr">
        <is>
          <t>event</t>
        </is>
      </c>
      <c r="N13" s="4" t="inlineStr">
        <is>
          <t>live</t>
        </is>
      </c>
      <c r="O13" s="8" t="inlineStr"/>
    </row>
    <row r="14">
      <c r="A14" s="4" t="inlineStr">
        <is>
          <t>China's exported deflation</t>
        </is>
      </c>
      <c r="B14" s="4" t="inlineStr">
        <is>
          <t>s5_china_deflation</t>
        </is>
      </c>
      <c r="C14" s="4" t="inlineStr">
        <is>
          <t>China PPI YoY (%) - more negative is worse</t>
        </is>
      </c>
      <c r="D14" s="7" t="n">
        <v>3.9</v>
      </c>
      <c r="E14" s="4" t="inlineStr">
        <is>
          <t>lower_worse</t>
        </is>
      </c>
      <c r="F14" s="4" t="n">
        <v>-1</v>
      </c>
      <c r="G14" s="4" t="n">
        <v>-3</v>
      </c>
      <c r="H14" s="4" t="n">
        <v>1</v>
      </c>
      <c r="I14" s="4">
        <f>IF(D14&gt;=F14,0,IF(D14&gt;=G14,1,2))</f>
        <v/>
      </c>
      <c r="J14" s="4" t="n">
        <v>1</v>
      </c>
      <c r="K14" s="4">
        <f>J14*(I14-H14)/2</f>
        <v/>
      </c>
      <c r="L14" s="8" t="inlineStr">
        <is>
          <t>manual</t>
        </is>
      </c>
      <c r="M14" s="4" t="inlineStr">
        <is>
          <t>monthly</t>
        </is>
      </c>
      <c r="N14" s="4" t="inlineStr">
        <is>
          <t>live</t>
        </is>
      </c>
      <c r="O14" s="8" t="inlineStr"/>
    </row>
    <row r="15">
      <c r="A15" s="4" t="inlineStr">
        <is>
          <t>China's exported deflation</t>
        </is>
      </c>
      <c r="B15" s="4" t="inlineStr">
        <is>
          <t>s5_china_deflation</t>
        </is>
      </c>
      <c r="C15" s="4" t="inlineStr">
        <is>
          <t>USD/CNY (yuan depreciation = higher = risk)</t>
        </is>
      </c>
      <c r="D15" s="7" t="n">
        <v>6.7849</v>
      </c>
      <c r="E15" s="4" t="inlineStr">
        <is>
          <t>higher_worse</t>
        </is>
      </c>
      <c r="F15" s="4" t="n">
        <v>7.3</v>
      </c>
      <c r="G15" s="4" t="n">
        <v>7.5</v>
      </c>
      <c r="H15" s="4" t="n">
        <v>0</v>
      </c>
      <c r="I15" s="4">
        <f>IF(D15&lt;=F15,0,IF(D15&lt;=G15,1,2))</f>
        <v/>
      </c>
      <c r="J15" s="4" t="n">
        <v>1</v>
      </c>
      <c r="K15" s="4">
        <f>J15*(I15-H15)/2</f>
        <v/>
      </c>
      <c r="L15" s="8" t="inlineStr">
        <is>
          <t>market:CNY=X</t>
        </is>
      </c>
      <c r="M15" s="4" t="inlineStr">
        <is>
          <t>daily</t>
        </is>
      </c>
      <c r="N15" s="4" t="inlineStr">
        <is>
          <t>live</t>
        </is>
      </c>
      <c r="O15" s="8" t="inlineStr"/>
    </row>
    <row r="16">
      <c r="A16" s="4" t="inlineStr">
        <is>
          <t>China's exported deflation</t>
        </is>
      </c>
      <c r="B16" s="4" t="inlineStr">
        <is>
          <t>s5_china_deflation</t>
        </is>
      </c>
      <c r="C16" s="4" t="inlineStr">
        <is>
          <t>New tariff/anti-dumping actions (0 calm / 1 rising / 2 escalating)</t>
        </is>
      </c>
      <c r="D16" s="7" t="n">
        <v>1</v>
      </c>
      <c r="E16" s="4" t="inlineStr">
        <is>
          <t>higher_worse</t>
        </is>
      </c>
      <c r="F16" s="4" t="n">
        <v>0</v>
      </c>
      <c r="G16" s="4" t="n">
        <v>1</v>
      </c>
      <c r="H16" s="4" t="n">
        <v>1</v>
      </c>
      <c r="I16" s="4">
        <f>IF(D16&lt;=F16,0,IF(D16&lt;=G16,1,2))</f>
        <v/>
      </c>
      <c r="J16" s="4" t="n">
        <v>1</v>
      </c>
      <c r="K16" s="4">
        <f>J16*(I16-H16)/2</f>
        <v/>
      </c>
      <c r="L16" s="8" t="inlineStr">
        <is>
          <t>manual</t>
        </is>
      </c>
      <c r="M16" s="4" t="inlineStr">
        <is>
          <t>event</t>
        </is>
      </c>
      <c r="N16" s="4" t="inlineStr">
        <is>
          <t>live</t>
        </is>
      </c>
      <c r="O16" s="8" t="inlineStr"/>
    </row>
    <row r="17">
      <c r="A17" s="4" t="inlineStr">
        <is>
          <t>Critical minerals as a weapon</t>
        </is>
      </c>
      <c r="B17" s="4" t="inlineStr">
        <is>
          <t>s6_rare_earths</t>
        </is>
      </c>
      <c r="C17" s="4" t="inlineStr">
        <is>
          <t>Rare-earth export license flow (0 flowing / 1 slowing / 2 frozen)</t>
        </is>
      </c>
      <c r="D17" s="7" t="n">
        <v>1</v>
      </c>
      <c r="E17" s="4" t="inlineStr">
        <is>
          <t>higher_worse</t>
        </is>
      </c>
      <c r="F17" s="4" t="n">
        <v>0</v>
      </c>
      <c r="G17" s="4" t="n">
        <v>1</v>
      </c>
      <c r="H17" s="4" t="n">
        <v>1</v>
      </c>
      <c r="I17" s="4">
        <f>IF(D17&lt;=F17,0,IF(D17&lt;=G17,1,2))</f>
        <v/>
      </c>
      <c r="J17" s="4" t="n">
        <v>1.5</v>
      </c>
      <c r="K17" s="4">
        <f>J17*(I17-H17)/2</f>
        <v/>
      </c>
      <c r="L17" s="8" t="inlineStr">
        <is>
          <t>manual</t>
        </is>
      </c>
      <c r="M17" s="4" t="inlineStr">
        <is>
          <t>event</t>
        </is>
      </c>
      <c r="N17" s="4" t="inlineStr">
        <is>
          <t>live</t>
        </is>
      </c>
      <c r="O17" s="8" t="inlineStr"/>
    </row>
    <row r="18">
      <c r="A18" s="4" t="inlineStr">
        <is>
          <t>Critical minerals as a weapon</t>
        </is>
      </c>
      <c r="B18" s="4" t="inlineStr">
        <is>
          <t>s6_rare_earths</t>
        </is>
      </c>
      <c r="C18" s="4" t="inlineStr">
        <is>
          <t>Nov-2025 pause status (0 extended / 1 expiring / 2 lapsed)</t>
        </is>
      </c>
      <c r="D18" s="7" t="n">
        <v>1</v>
      </c>
      <c r="E18" s="4" t="inlineStr">
        <is>
          <t>higher_worse</t>
        </is>
      </c>
      <c r="F18" s="4" t="n">
        <v>0</v>
      </c>
      <c r="G18" s="4" t="n">
        <v>1</v>
      </c>
      <c r="H18" s="4" t="n">
        <v>1</v>
      </c>
      <c r="I18" s="4">
        <f>IF(D18&lt;=F18,0,IF(D18&lt;=G18,1,2))</f>
        <v/>
      </c>
      <c r="J18" s="4" t="n">
        <v>1</v>
      </c>
      <c r="K18" s="4">
        <f>J18*(I18-H18)/2</f>
        <v/>
      </c>
      <c r="L18" s="8" t="inlineStr">
        <is>
          <t>manual</t>
        </is>
      </c>
      <c r="M18" s="4" t="inlineStr">
        <is>
          <t>event</t>
        </is>
      </c>
      <c r="N18" s="4" t="inlineStr">
        <is>
          <t>live</t>
        </is>
      </c>
      <c r="O18" s="8" t="inlineStr"/>
    </row>
    <row r="19">
      <c r="A19" s="4" t="inlineStr">
        <is>
          <t>Critical minerals as a weapon</t>
        </is>
      </c>
      <c r="B19" s="4" t="inlineStr">
        <is>
          <t>s6_rare_earths</t>
        </is>
      </c>
      <c r="C19" s="4" t="inlineStr">
        <is>
          <t>Ex-China heavy rare-earth price premium (x China)</t>
        </is>
      </c>
      <c r="D19" s="7" t="n">
        <v>4.5</v>
      </c>
      <c r="E19" s="4" t="inlineStr">
        <is>
          <t>higher_worse</t>
        </is>
      </c>
      <c r="F19" s="4" t="n">
        <v>2</v>
      </c>
      <c r="G19" s="4" t="n">
        <v>4</v>
      </c>
      <c r="H19" s="4" t="n">
        <v>1</v>
      </c>
      <c r="I19" s="4">
        <f>IF(D19&lt;=F19,0,IF(D19&lt;=G19,1,2))</f>
        <v/>
      </c>
      <c r="J19" s="4" t="n">
        <v>0.5</v>
      </c>
      <c r="K19" s="4">
        <f>J19*(I19-H19)/2</f>
        <v/>
      </c>
      <c r="L19" s="8" t="inlineStr">
        <is>
          <t>manual</t>
        </is>
      </c>
      <c r="M19" s="4" t="inlineStr">
        <is>
          <t>monthly</t>
        </is>
      </c>
      <c r="N19" s="4" t="inlineStr">
        <is>
          <t>live</t>
        </is>
      </c>
      <c r="O19" s="8" t="inlineStr"/>
    </row>
    <row r="20">
      <c r="A20" s="4" t="inlineStr">
        <is>
          <t>Stablecoins &amp; Treasury demand</t>
        </is>
      </c>
      <c r="B20" s="4" t="inlineStr">
        <is>
          <t>s7_stablecoins</t>
        </is>
      </c>
      <c r="C20" s="4" t="inlineStr">
        <is>
          <t>Largest stablecoin max peg deviation (%)</t>
        </is>
      </c>
      <c r="D20" s="7" t="n">
        <v>0.1</v>
      </c>
      <c r="E20" s="4" t="inlineStr">
        <is>
          <t>higher_worse</t>
        </is>
      </c>
      <c r="F20" s="4" t="n">
        <v>0.5</v>
      </c>
      <c r="G20" s="4" t="n">
        <v>2</v>
      </c>
      <c r="H20" s="4" t="n">
        <v>0</v>
      </c>
      <c r="I20" s="4">
        <f>IF(D20&lt;=F20,0,IF(D20&lt;=G20,1,2))</f>
        <v/>
      </c>
      <c r="J20" s="4" t="n">
        <v>1.5</v>
      </c>
      <c r="K20" s="4">
        <f>J20*(I20-H20)/2</f>
        <v/>
      </c>
      <c r="L20" s="8" t="inlineStr">
        <is>
          <t>manual</t>
        </is>
      </c>
      <c r="M20" s="4" t="inlineStr">
        <is>
          <t>daily</t>
        </is>
      </c>
      <c r="N20" s="4" t="inlineStr">
        <is>
          <t>baseline</t>
        </is>
      </c>
      <c r="O20" s="8" t="inlineStr">
        <is>
          <t>USDC briefly hit ~$0.87 (13%) in Mar 2023.</t>
        </is>
      </c>
    </row>
    <row r="21">
      <c r="A21" s="4" t="inlineStr">
        <is>
          <t>Stablecoins &amp; Treasury demand</t>
        </is>
      </c>
      <c r="B21" s="4" t="inlineStr">
        <is>
          <t>s7_stablecoins</t>
        </is>
      </c>
      <c r="C21" s="4" t="inlineStr">
        <is>
          <t>Total USD stablecoin supply ($bn)</t>
        </is>
      </c>
      <c r="D21" s="7" t="n">
        <v>280</v>
      </c>
      <c r="E21" s="4" t="inlineStr">
        <is>
          <t>higher_worse</t>
        </is>
      </c>
      <c r="F21" s="4" t="n">
        <v>350</v>
      </c>
      <c r="G21" s="4" t="n">
        <v>600</v>
      </c>
      <c r="H21" s="4" t="n">
        <v>0</v>
      </c>
      <c r="I21" s="4">
        <f>IF(D21&lt;=F21,0,IF(D21&lt;=G21,1,2))</f>
        <v/>
      </c>
      <c r="J21" s="4" t="n">
        <v>0.5</v>
      </c>
      <c r="K21" s="4">
        <f>J21*(I21-H21)/2</f>
        <v/>
      </c>
      <c r="L21" s="8" t="inlineStr">
        <is>
          <t>manual</t>
        </is>
      </c>
      <c r="M21" s="4" t="inlineStr">
        <is>
          <t>monthly</t>
        </is>
      </c>
      <c r="N21" s="4" t="inlineStr">
        <is>
          <t>baseline</t>
        </is>
      </c>
      <c r="O21" s="8" t="inlineStr">
        <is>
          <t>Bigger = more T-bill demand AND more run risk.</t>
        </is>
      </c>
    </row>
    <row r="22">
      <c r="A22" s="4" t="inlineStr">
        <is>
          <t>Stablecoins &amp; Treasury demand</t>
        </is>
      </c>
      <c r="B22" s="4" t="inlineStr">
        <is>
          <t>s7_stablecoins</t>
        </is>
      </c>
      <c r="C22" s="4" t="inlineStr">
        <is>
          <t>GENIUS implementation friction (0 smooth / 1 gaps / 2 problems)</t>
        </is>
      </c>
      <c r="D22" s="7" t="n">
        <v>1</v>
      </c>
      <c r="E22" s="4" t="inlineStr">
        <is>
          <t>higher_worse</t>
        </is>
      </c>
      <c r="F22" s="4" t="n">
        <v>0</v>
      </c>
      <c r="G22" s="4" t="n">
        <v>1</v>
      </c>
      <c r="H22" s="4" t="n">
        <v>0</v>
      </c>
      <c r="I22" s="4">
        <f>IF(D22&lt;=F22,0,IF(D22&lt;=G22,1,2))</f>
        <v/>
      </c>
      <c r="J22" s="4" t="n">
        <v>0.5</v>
      </c>
      <c r="K22" s="4">
        <f>J22*(I22-H22)/2</f>
        <v/>
      </c>
      <c r="L22" s="8" t="inlineStr">
        <is>
          <t>manual</t>
        </is>
      </c>
      <c r="M22" s="4" t="inlineStr">
        <is>
          <t>event</t>
        </is>
      </c>
      <c r="N22" s="4" t="inlineStr">
        <is>
          <t>live</t>
        </is>
      </c>
      <c r="O22" s="8" t="inlineStr"/>
    </row>
    <row r="23">
      <c r="A23" s="4" t="inlineStr">
        <is>
          <t>AI build-out circular financing</t>
        </is>
      </c>
      <c r="B23" s="4" t="inlineStr">
        <is>
          <t>s8_ai_capex</t>
        </is>
      </c>
      <c r="C23" s="4" t="inlineStr">
        <is>
          <t>US investment-grade OAS (bps) - big-issuer proxy</t>
        </is>
      </c>
      <c r="D23" s="7" t="n">
        <v>0.95</v>
      </c>
      <c r="E23" s="4" t="inlineStr">
        <is>
          <t>higher_worse</t>
        </is>
      </c>
      <c r="F23" s="4" t="n">
        <v>1</v>
      </c>
      <c r="G23" s="4" t="n">
        <v>1.4</v>
      </c>
      <c r="H23" s="4" t="n">
        <v>0</v>
      </c>
      <c r="I23" s="4">
        <f>IF(D23&lt;=F23,0,IF(D23&lt;=G23,1,2))</f>
        <v/>
      </c>
      <c r="J23" s="4" t="n">
        <v>1</v>
      </c>
      <c r="K23" s="4">
        <f>J23*(I23-H23)/2</f>
        <v/>
      </c>
      <c r="L23" s="8" t="inlineStr">
        <is>
          <t>fred:BAMLC0A0CM</t>
        </is>
      </c>
      <c r="M23" s="4" t="inlineStr">
        <is>
          <t>daily</t>
        </is>
      </c>
      <c r="N23" s="4" t="inlineStr">
        <is>
          <t>baseline</t>
        </is>
      </c>
      <c r="O23" s="8" t="inlineStr">
        <is>
          <t>FRED in percent; 1.0 = 100bps.</t>
        </is>
      </c>
    </row>
    <row r="24">
      <c r="A24" s="4" t="inlineStr">
        <is>
          <t>AI build-out circular financing</t>
        </is>
      </c>
      <c r="B24" s="4" t="inlineStr">
        <is>
          <t>s8_ai_capex</t>
        </is>
      </c>
      <c r="C24" s="4" t="inlineStr">
        <is>
          <t>AI capex-vs-revenue gap concern (0 closing / 1 wide / 2 widening fast)</t>
        </is>
      </c>
      <c r="D24" s="7" t="n">
        <v>1</v>
      </c>
      <c r="E24" s="4" t="inlineStr">
        <is>
          <t>higher_worse</t>
        </is>
      </c>
      <c r="F24" s="4" t="n">
        <v>0</v>
      </c>
      <c r="G24" s="4" t="n">
        <v>1</v>
      </c>
      <c r="H24" s="4" t="n">
        <v>1</v>
      </c>
      <c r="I24" s="4">
        <f>IF(D24&lt;=F24,0,IF(D24&lt;=G24,1,2))</f>
        <v/>
      </c>
      <c r="J24" s="4" t="n">
        <v>1</v>
      </c>
      <c r="K24" s="4">
        <f>J24*(I24-H24)/2</f>
        <v/>
      </c>
      <c r="L24" s="8" t="inlineStr">
        <is>
          <t>manual</t>
        </is>
      </c>
      <c r="M24" s="4" t="inlineStr">
        <is>
          <t>quarterly</t>
        </is>
      </c>
      <c r="N24" s="4" t="inlineStr">
        <is>
          <t>live</t>
        </is>
      </c>
      <c r="O24" s="8" t="inlineStr"/>
    </row>
    <row r="25">
      <c r="A25" s="4" t="inlineStr">
        <is>
          <t>AI build-out circular financing</t>
        </is>
      </c>
      <c r="B25" s="4" t="inlineStr">
        <is>
          <t>s8_ai_capex</t>
        </is>
      </c>
      <c r="C25" s="4" t="inlineStr">
        <is>
          <t>GPU-backed debt refinancing stress (0 none / 1 signs / 2 acute)</t>
        </is>
      </c>
      <c r="D25" s="7" t="n">
        <v>1</v>
      </c>
      <c r="E25" s="4" t="inlineStr">
        <is>
          <t>higher_worse</t>
        </is>
      </c>
      <c r="F25" s="4" t="n">
        <v>0</v>
      </c>
      <c r="G25" s="4" t="n">
        <v>1</v>
      </c>
      <c r="H25" s="4" t="n">
        <v>0</v>
      </c>
      <c r="I25" s="4">
        <f>IF(D25&lt;=F25,0,IF(D25&lt;=G25,1,2))</f>
        <v/>
      </c>
      <c r="J25" s="4" t="n">
        <v>1</v>
      </c>
      <c r="K25" s="4">
        <f>J25*(I25-H25)/2</f>
        <v/>
      </c>
      <c r="L25" s="8" t="inlineStr">
        <is>
          <t>manual</t>
        </is>
      </c>
      <c r="M25" s="4" t="inlineStr">
        <is>
          <t>event</t>
        </is>
      </c>
      <c r="N25" s="4" t="inlineStr">
        <is>
          <t>live</t>
        </is>
      </c>
      <c r="O25" s="8" t="inlineStr"/>
    </row>
    <row r="26">
      <c r="A26" s="4" t="inlineStr">
        <is>
          <t>CRE maturity wall / regional banks</t>
        </is>
      </c>
      <c r="B26" s="4" t="inlineStr">
        <is>
          <t>s9_cre</t>
        </is>
      </c>
      <c r="C26" s="4" t="inlineStr">
        <is>
          <t>CMBS office delinquency rate (%)</t>
        </is>
      </c>
      <c r="D26" s="7" t="n">
        <v>12.34</v>
      </c>
      <c r="E26" s="4" t="inlineStr">
        <is>
          <t>higher_worse</t>
        </is>
      </c>
      <c r="F26" s="4" t="n">
        <v>8</v>
      </c>
      <c r="G26" s="4" t="n">
        <v>12</v>
      </c>
      <c r="H26" s="4" t="n">
        <v>2</v>
      </c>
      <c r="I26" s="4">
        <f>IF(D26&lt;=F26,0,IF(D26&lt;=G26,1,2))</f>
        <v/>
      </c>
      <c r="J26" s="4" t="n">
        <v>1</v>
      </c>
      <c r="K26" s="4">
        <f>J26*(I26-H26)/2</f>
        <v/>
      </c>
      <c r="L26" s="8" t="inlineStr">
        <is>
          <t>manual</t>
        </is>
      </c>
      <c r="M26" s="4" t="inlineStr">
        <is>
          <t>monthly</t>
        </is>
      </c>
      <c r="N26" s="4" t="inlineStr">
        <is>
          <t>live</t>
        </is>
      </c>
      <c r="O26" s="8" t="inlineStr">
        <is>
          <t>Record 12.34% Jan 2026 (Trepp; paid feed).</t>
        </is>
      </c>
    </row>
    <row r="27">
      <c r="A27" s="4" t="inlineStr">
        <is>
          <t>CRE maturity wall / regional banks</t>
        </is>
      </c>
      <c r="B27" s="4" t="inlineStr">
        <is>
          <t>s9_cre</t>
        </is>
      </c>
      <c r="C27" s="4" t="inlineStr">
        <is>
          <t>Regional-bank CRE stress (0 calm / 1 isolated / 2 cluster)</t>
        </is>
      </c>
      <c r="D27" s="7" t="n">
        <v>1</v>
      </c>
      <c r="E27" s="4" t="inlineStr">
        <is>
          <t>higher_worse</t>
        </is>
      </c>
      <c r="F27" s="4" t="n">
        <v>0</v>
      </c>
      <c r="G27" s="4" t="n">
        <v>1</v>
      </c>
      <c r="H27" s="4" t="n">
        <v>0</v>
      </c>
      <c r="I27" s="4">
        <f>IF(D27&lt;=F27,0,IF(D27&lt;=G27,1,2))</f>
        <v/>
      </c>
      <c r="J27" s="4" t="n">
        <v>1.5</v>
      </c>
      <c r="K27" s="4">
        <f>J27*(I27-H27)/2</f>
        <v/>
      </c>
      <c r="L27" s="8" t="inlineStr">
        <is>
          <t>manual</t>
        </is>
      </c>
      <c r="M27" s="4" t="inlineStr">
        <is>
          <t>event</t>
        </is>
      </c>
      <c r="N27" s="4" t="inlineStr">
        <is>
          <t>live</t>
        </is>
      </c>
      <c r="O27" s="8" t="inlineStr"/>
    </row>
    <row r="28">
      <c r="A28" s="4" t="inlineStr">
        <is>
          <t>France / eurozone fragility</t>
        </is>
      </c>
      <c r="B28" s="4" t="inlineStr">
        <is>
          <t>s10_france</t>
        </is>
      </c>
      <c r="C28" s="4" t="inlineStr">
        <is>
          <t>OAT-Bund 10y spread (bps)</t>
        </is>
      </c>
      <c r="D28" s="7" t="n">
        <v>0.72</v>
      </c>
      <c r="E28" s="4" t="inlineStr">
        <is>
          <t>higher_worse</t>
        </is>
      </c>
      <c r="F28" s="4" t="n">
        <v>0.6</v>
      </c>
      <c r="G28" s="4" t="n">
        <v>0.85</v>
      </c>
      <c r="H28" s="4" t="n">
        <v>1</v>
      </c>
      <c r="I28" s="4">
        <f>IF(D28&lt;=F28,0,IF(D28&lt;=G28,1,2))</f>
        <v/>
      </c>
      <c r="J28" s="4" t="n">
        <v>1</v>
      </c>
      <c r="K28" s="4">
        <f>J28*(I28-H28)/2</f>
        <v/>
      </c>
      <c r="L28" s="8" t="inlineStr">
        <is>
          <t>fred_spread:IRLTLT01FRM156N:IRLTLT01DEM156N</t>
        </is>
      </c>
      <c r="M28" s="4" t="inlineStr">
        <is>
          <t>monthly</t>
        </is>
      </c>
      <c r="N28" s="4" t="inlineStr">
        <is>
          <t>baseline</t>
        </is>
      </c>
      <c r="O28" s="8" t="inlineStr">
        <is>
          <t>FRED rates in percent; spread shown in pp (0.72 = 72bps).</t>
        </is>
      </c>
    </row>
    <row r="29">
      <c r="A29" s="4" t="inlineStr">
        <is>
          <t>France / eurozone fragility</t>
        </is>
      </c>
      <c r="B29" s="4" t="inlineStr">
        <is>
          <t>s10_france</t>
        </is>
      </c>
      <c r="C29" s="4" t="inlineStr">
        <is>
          <t>Govt stability (0 stable / 1 fragile / 2 collapse-or-snap-election)</t>
        </is>
      </c>
      <c r="D29" s="7" t="n">
        <v>1</v>
      </c>
      <c r="E29" s="4" t="inlineStr">
        <is>
          <t>higher_worse</t>
        </is>
      </c>
      <c r="F29" s="4" t="n">
        <v>0</v>
      </c>
      <c r="G29" s="4" t="n">
        <v>1</v>
      </c>
      <c r="H29" s="4" t="n">
        <v>1</v>
      </c>
      <c r="I29" s="4">
        <f>IF(D29&lt;=F29,0,IF(D29&lt;=G29,1,2))</f>
        <v/>
      </c>
      <c r="J29" s="4" t="n">
        <v>1</v>
      </c>
      <c r="K29" s="4">
        <f>J29*(I29-H29)/2</f>
        <v/>
      </c>
      <c r="L29" s="8" t="inlineStr">
        <is>
          <t>manual</t>
        </is>
      </c>
      <c r="M29" s="4" t="inlineStr">
        <is>
          <t>event</t>
        </is>
      </c>
      <c r="N29" s="4" t="inlineStr">
        <is>
          <t>live</t>
        </is>
      </c>
      <c r="O29" s="8" t="inlineStr"/>
    </row>
    <row r="30">
      <c r="A30" s="4" t="inlineStr">
        <is>
          <t>France / eurozone fragility</t>
        </is>
      </c>
      <c r="B30" s="4" t="inlineStr">
        <is>
          <t>s10_france</t>
        </is>
      </c>
      <c r="C30" s="4" t="inlineStr">
        <is>
          <t>Rating action (0 stable / 1 negative outlook / 2 downgrade)</t>
        </is>
      </c>
      <c r="D30" s="7" t="n">
        <v>1</v>
      </c>
      <c r="E30" s="4" t="inlineStr">
        <is>
          <t>higher_worse</t>
        </is>
      </c>
      <c r="F30" s="4" t="n">
        <v>0</v>
      </c>
      <c r="G30" s="4" t="n">
        <v>1</v>
      </c>
      <c r="H30" s="4" t="n">
        <v>0</v>
      </c>
      <c r="I30" s="4">
        <f>IF(D30&lt;=F30,0,IF(D30&lt;=G30,1,2))</f>
        <v/>
      </c>
      <c r="J30" s="4" t="n">
        <v>1</v>
      </c>
      <c r="K30" s="4">
        <f>J30*(I30-H30)/2</f>
        <v/>
      </c>
      <c r="L30" s="8" t="inlineStr">
        <is>
          <t>manual</t>
        </is>
      </c>
      <c r="M30" s="4" t="inlineStr">
        <is>
          <t>event</t>
        </is>
      </c>
      <c r="N30" s="4" t="inlineStr">
        <is>
          <t>live</t>
        </is>
      </c>
      <c r="O30" s="8" t="inlineStr"/>
    </row>
    <row r="31">
      <c r="A31" s="4" t="inlineStr">
        <is>
          <t>Hidden consumer debt</t>
        </is>
      </c>
      <c r="B31" s="4" t="inlineStr">
        <is>
          <t>s11_consumer_debt</t>
        </is>
      </c>
      <c r="C31" s="4" t="inlineStr">
        <is>
          <t>Subprime auto 60+ day delinquency (%)</t>
        </is>
      </c>
      <c r="D31" s="7" t="n">
        <v>6.8</v>
      </c>
      <c r="E31" s="4" t="inlineStr">
        <is>
          <t>higher_worse</t>
        </is>
      </c>
      <c r="F31" s="4" t="n">
        <v>5.5</v>
      </c>
      <c r="G31" s="4" t="n">
        <v>6.5</v>
      </c>
      <c r="H31" s="4" t="n">
        <v>1</v>
      </c>
      <c r="I31" s="4">
        <f>IF(D31&lt;=F31,0,IF(D31&lt;=G31,1,2))</f>
        <v/>
      </c>
      <c r="J31" s="4" t="n">
        <v>1</v>
      </c>
      <c r="K31" s="4">
        <f>J31*(I31-H31)/2</f>
        <v/>
      </c>
      <c r="L31" s="8" t="inlineStr">
        <is>
          <t>manual</t>
        </is>
      </c>
      <c r="M31" s="4" t="inlineStr">
        <is>
          <t>monthly</t>
        </is>
      </c>
      <c r="N31" s="4" t="inlineStr">
        <is>
          <t>live</t>
        </is>
      </c>
      <c r="O31" s="8" t="inlineStr"/>
    </row>
    <row r="32">
      <c r="A32" s="4" t="inlineStr">
        <is>
          <t>Hidden consumer debt</t>
        </is>
      </c>
      <c r="B32" s="4" t="inlineStr">
        <is>
          <t>s11_consumer_debt</t>
        </is>
      </c>
      <c r="C32" s="4" t="inlineStr">
        <is>
          <t>US unemployment rate (%)</t>
        </is>
      </c>
      <c r="D32" s="7" t="n">
        <v>4.2</v>
      </c>
      <c r="E32" s="4" t="inlineStr">
        <is>
          <t>higher_worse</t>
        </is>
      </c>
      <c r="F32" s="4" t="n">
        <v>4.4</v>
      </c>
      <c r="G32" s="4" t="n">
        <v>4.8</v>
      </c>
      <c r="H32" s="4" t="n">
        <v>0</v>
      </c>
      <c r="I32" s="4">
        <f>IF(D32&lt;=F32,0,IF(D32&lt;=G32,1,2))</f>
        <v/>
      </c>
      <c r="J32" s="4" t="n">
        <v>1</v>
      </c>
      <c r="K32" s="4">
        <f>J32*(I32-H32)/2</f>
        <v/>
      </c>
      <c r="L32" s="8" t="inlineStr">
        <is>
          <t>fred:UNRATE</t>
        </is>
      </c>
      <c r="M32" s="4" t="inlineStr">
        <is>
          <t>monthly</t>
        </is>
      </c>
      <c r="N32" s="4" t="inlineStr">
        <is>
          <t>baseline</t>
        </is>
      </c>
      <c r="O32" s="8" t="inlineStr">
        <is>
          <t>The key accelerant for consumer stress.</t>
        </is>
      </c>
    </row>
    <row r="33">
      <c r="A33" s="4" t="inlineStr">
        <is>
          <t>Hidden consumer debt</t>
        </is>
      </c>
      <c r="B33" s="4" t="inlineStr">
        <is>
          <t>s11_consumer_debt</t>
        </is>
      </c>
      <c r="C33" s="4" t="inlineStr">
        <is>
          <t>BNPL delinquency trend (0 stable / 1 rising / 2 spiking)</t>
        </is>
      </c>
      <c r="D33" s="7" t="n">
        <v>1</v>
      </c>
      <c r="E33" s="4" t="inlineStr">
        <is>
          <t>higher_worse</t>
        </is>
      </c>
      <c r="F33" s="4" t="n">
        <v>0</v>
      </c>
      <c r="G33" s="4" t="n">
        <v>1</v>
      </c>
      <c r="H33" s="4" t="n">
        <v>1</v>
      </c>
      <c r="I33" s="4">
        <f>IF(D33&lt;=F33,0,IF(D33&lt;=G33,1,2))</f>
        <v/>
      </c>
      <c r="J33" s="4" t="n">
        <v>0.5</v>
      </c>
      <c r="K33" s="4">
        <f>J33*(I33-H33)/2</f>
        <v/>
      </c>
      <c r="L33" s="8" t="inlineStr">
        <is>
          <t>manual</t>
        </is>
      </c>
      <c r="M33" s="4" t="inlineStr">
        <is>
          <t>quarterly</t>
        </is>
      </c>
      <c r="N33" s="4" t="inlineStr">
        <is>
          <t>live</t>
        </is>
      </c>
      <c r="O33" s="8" t="inlineStr"/>
    </row>
    <row r="34">
      <c r="A34" s="4" t="inlineStr">
        <is>
          <t>Gold / de-dollarization</t>
        </is>
      </c>
      <c r="B34" s="4" t="inlineStr">
        <is>
          <t>s12_gold_dedollar</t>
        </is>
      </c>
      <c r="C34" s="4" t="inlineStr">
        <is>
          <t>Gold price (USD/oz)</t>
        </is>
      </c>
      <c r="D34" s="7" t="n">
        <v>4044.8999</v>
      </c>
      <c r="E34" s="4" t="inlineStr">
        <is>
          <t>higher_worse</t>
        </is>
      </c>
      <c r="F34" s="4" t="n">
        <v>4500</v>
      </c>
      <c r="G34" s="4" t="n">
        <v>5500</v>
      </c>
      <c r="H34" s="4" t="n">
        <v>0</v>
      </c>
      <c r="I34" s="4">
        <f>IF(D34&lt;=F34,0,IF(D34&lt;=G34,1,2))</f>
        <v/>
      </c>
      <c r="J34" s="4" t="n">
        <v>0.5</v>
      </c>
      <c r="K34" s="4">
        <f>J34*(I34-H34)/2</f>
        <v/>
      </c>
      <c r="L34" s="8" t="inlineStr">
        <is>
          <t>market:GC=F</t>
        </is>
      </c>
      <c r="M34" s="4" t="inlineStr">
        <is>
          <t>daily</t>
        </is>
      </c>
      <c r="N34" s="4" t="inlineStr">
        <is>
          <t>live</t>
        </is>
      </c>
      <c r="O34" s="8" t="inlineStr">
        <is>
          <t>Rising = stronger de-dollarization signal.</t>
        </is>
      </c>
    </row>
    <row r="35">
      <c r="A35" s="4" t="inlineStr">
        <is>
          <t>Gold / de-dollarization</t>
        </is>
      </c>
      <c r="B35" s="4" t="inlineStr">
        <is>
          <t>s12_gold_dedollar</t>
        </is>
      </c>
      <c r="C35" s="4" t="inlineStr">
        <is>
          <t>USD share of FX reserves (%, IMF COFER)</t>
        </is>
      </c>
      <c r="D35" s="7" t="n">
        <v>56.77</v>
      </c>
      <c r="E35" s="4" t="inlineStr">
        <is>
          <t>lower_worse</t>
        </is>
      </c>
      <c r="F35" s="4" t="n">
        <v>57</v>
      </c>
      <c r="G35" s="4" t="n">
        <v>54</v>
      </c>
      <c r="H35" s="4" t="n">
        <v>1</v>
      </c>
      <c r="I35" s="4">
        <f>IF(D35&gt;=F35,0,IF(D35&gt;=G35,1,2))</f>
        <v/>
      </c>
      <c r="J35" s="4" t="n">
        <v>1</v>
      </c>
      <c r="K35" s="4">
        <f>J35*(I35-H35)/2</f>
        <v/>
      </c>
      <c r="L35" s="8" t="inlineStr">
        <is>
          <t>manual</t>
        </is>
      </c>
      <c r="M35" s="4" t="inlineStr">
        <is>
          <t>quarterly</t>
        </is>
      </c>
      <c r="N35" s="4" t="inlineStr">
        <is>
          <t>live</t>
        </is>
      </c>
      <c r="O35" s="8" t="inlineStr"/>
    </row>
    <row r="36">
      <c r="A36" s="4" t="inlineStr">
        <is>
          <t>Gold / de-dollarization</t>
        </is>
      </c>
      <c r="B36" s="4" t="inlineStr">
        <is>
          <t>s12_gold_dedollar</t>
        </is>
      </c>
      <c r="C36" s="4" t="inlineStr">
        <is>
          <t>Reserve-weaponization / settlement shift (0 none / 1 talk / 2 action)</t>
        </is>
      </c>
      <c r="D36" s="7" t="n">
        <v>1</v>
      </c>
      <c r="E36" s="4" t="inlineStr">
        <is>
          <t>higher_worse</t>
        </is>
      </c>
      <c r="F36" s="4" t="n">
        <v>0</v>
      </c>
      <c r="G36" s="4" t="n">
        <v>1</v>
      </c>
      <c r="H36" s="4" t="n">
        <v>0</v>
      </c>
      <c r="I36" s="4">
        <f>IF(D36&lt;=F36,0,IF(D36&lt;=G36,1,2))</f>
        <v/>
      </c>
      <c r="J36" s="4" t="n">
        <v>1</v>
      </c>
      <c r="K36" s="4">
        <f>J36*(I36-H36)/2</f>
        <v/>
      </c>
      <c r="L36" s="8" t="inlineStr">
        <is>
          <t>manual</t>
        </is>
      </c>
      <c r="M36" s="4" t="inlineStr">
        <is>
          <t>event</t>
        </is>
      </c>
      <c r="N36" s="4" t="inlineStr">
        <is>
          <t>live</t>
        </is>
      </c>
      <c r="O36" s="8" t="inlineStr"/>
    </row>
    <row r="37">
      <c r="A37" s="4" t="inlineStr">
        <is>
          <t>Insurance retreat</t>
        </is>
      </c>
      <c r="B37" s="4" t="inlineStr">
        <is>
          <t>s13_insurance</t>
        </is>
      </c>
      <c r="C37" s="4" t="inlineStr">
        <is>
          <t>Insurer non-renewals / exits (0 stable / 1 rising / 2 accelerating)</t>
        </is>
      </c>
      <c r="D37" s="7" t="n">
        <v>1</v>
      </c>
      <c r="E37" s="4" t="inlineStr">
        <is>
          <t>higher_worse</t>
        </is>
      </c>
      <c r="F37" s="4" t="n">
        <v>0</v>
      </c>
      <c r="G37" s="4" t="n">
        <v>1</v>
      </c>
      <c r="H37" s="4" t="n">
        <v>1</v>
      </c>
      <c r="I37" s="4">
        <f>IF(D37&lt;=F37,0,IF(D37&lt;=G37,1,2))</f>
        <v/>
      </c>
      <c r="J37" s="4" t="n">
        <v>1</v>
      </c>
      <c r="K37" s="4">
        <f>J37*(I37-H37)/2</f>
        <v/>
      </c>
      <c r="L37" s="8" t="inlineStr">
        <is>
          <t>manual</t>
        </is>
      </c>
      <c r="M37" s="4" t="inlineStr">
        <is>
          <t>event</t>
        </is>
      </c>
      <c r="N37" s="4" t="inlineStr">
        <is>
          <t>live</t>
        </is>
      </c>
      <c r="O37" s="8" t="inlineStr"/>
    </row>
    <row r="38">
      <c r="A38" s="4" t="inlineStr">
        <is>
          <t>Insurance retreat</t>
        </is>
      </c>
      <c r="B38" s="4" t="inlineStr">
        <is>
          <t>s13_insurance</t>
        </is>
      </c>
      <c r="C38" s="4" t="inlineStr">
        <is>
          <t>US single-family mortgage delinquency (%, FRED DRSFRMACBS)</t>
        </is>
      </c>
      <c r="D38" s="7" t="n">
        <v>1.9</v>
      </c>
      <c r="E38" s="4" t="inlineStr">
        <is>
          <t>higher_worse</t>
        </is>
      </c>
      <c r="F38" s="4" t="n">
        <v>2</v>
      </c>
      <c r="G38" s="4" t="n">
        <v>2.6</v>
      </c>
      <c r="H38" s="4" t="n">
        <v>0</v>
      </c>
      <c r="I38" s="4">
        <f>IF(D38&lt;=F38,0,IF(D38&lt;=G38,1,2))</f>
        <v/>
      </c>
      <c r="J38" s="4" t="n">
        <v>0.5</v>
      </c>
      <c r="K38" s="4">
        <f>J38*(I38-H38)/2</f>
        <v/>
      </c>
      <c r="L38" s="8" t="inlineStr">
        <is>
          <t>fred:DRSFRMACBS</t>
        </is>
      </c>
      <c r="M38" s="4" t="inlineStr">
        <is>
          <t>quarterly</t>
        </is>
      </c>
      <c r="N38" s="4" t="inlineStr">
        <is>
          <t>baseline</t>
        </is>
      </c>
      <c r="O38" s="8" t="inlineStr"/>
    </row>
    <row r="39">
      <c r="A39" s="4" t="inlineStr">
        <is>
          <t>Insurance retreat</t>
        </is>
      </c>
      <c r="B39" s="4" t="inlineStr">
        <is>
          <t>s13_insurance</t>
        </is>
      </c>
      <c r="C39" s="4" t="inlineStr">
        <is>
          <t>Catastrophe-loss pressure (0 normal / 1 elevated / 2 severe season)</t>
        </is>
      </c>
      <c r="D39" s="7" t="n">
        <v>0</v>
      </c>
      <c r="E39" s="4" t="inlineStr">
        <is>
          <t>higher_worse</t>
        </is>
      </c>
      <c r="F39" s="4" t="n">
        <v>0</v>
      </c>
      <c r="G39" s="4" t="n">
        <v>1</v>
      </c>
      <c r="H39" s="4" t="n">
        <v>1</v>
      </c>
      <c r="I39" s="4">
        <f>IF(D39&lt;=F39,0,IF(D39&lt;=G39,1,2))</f>
        <v/>
      </c>
      <c r="J39" s="4" t="n">
        <v>1</v>
      </c>
      <c r="K39" s="4">
        <f>J39*(I39-H39)/2</f>
        <v/>
      </c>
      <c r="L39" s="8" t="inlineStr">
        <is>
          <t>manual</t>
        </is>
      </c>
      <c r="M39" s="4" t="inlineStr">
        <is>
          <t>event</t>
        </is>
      </c>
      <c r="N39" s="4" t="inlineStr">
        <is>
          <t>live</t>
        </is>
      </c>
      <c r="O39" s="8" t="inlineStr"/>
    </row>
    <row r="40">
      <c r="A40" s="4" t="inlineStr">
        <is>
          <t>Pensions / demographics</t>
        </is>
      </c>
      <c r="B40" s="4" t="inlineStr">
        <is>
          <t>s14_pensions</t>
        </is>
      </c>
      <c r="C40" s="4" t="inlineStr">
        <is>
          <t>Social Security / pension reform shock (0 none / 1 debate / 2 cuts)</t>
        </is>
      </c>
      <c r="D40" s="7" t="n">
        <v>1</v>
      </c>
      <c r="E40" s="4" t="inlineStr">
        <is>
          <t>higher_worse</t>
        </is>
      </c>
      <c r="F40" s="4" t="n">
        <v>0</v>
      </c>
      <c r="G40" s="4" t="n">
        <v>1</v>
      </c>
      <c r="H40" s="4" t="n">
        <v>0</v>
      </c>
      <c r="I40" s="4">
        <f>IF(D40&lt;=F40,0,IF(D40&lt;=G40,1,2))</f>
        <v/>
      </c>
      <c r="J40" s="4" t="n">
        <v>1</v>
      </c>
      <c r="K40" s="4">
        <f>J40*(I40-H40)/2</f>
        <v/>
      </c>
      <c r="L40" s="8" t="inlineStr">
        <is>
          <t>manual</t>
        </is>
      </c>
      <c r="M40" s="4" t="inlineStr">
        <is>
          <t>event</t>
        </is>
      </c>
      <c r="N40" s="4" t="inlineStr">
        <is>
          <t>live</t>
        </is>
      </c>
      <c r="O40" s="8" t="inlineStr"/>
    </row>
    <row r="41">
      <c r="A41" s="4" t="inlineStr">
        <is>
          <t>Pensions / demographics</t>
        </is>
      </c>
      <c r="B41" s="4" t="inlineStr">
        <is>
          <t>s14_pensions</t>
        </is>
      </c>
      <c r="C41" s="4" t="inlineStr">
        <is>
          <t>Pension-fund leverage event, UK-2022 type (0 none / 1 stress / 2 blowup)</t>
        </is>
      </c>
      <c r="D41" s="7" t="n">
        <v>0</v>
      </c>
      <c r="E41" s="4" t="inlineStr">
        <is>
          <t>higher_worse</t>
        </is>
      </c>
      <c r="F41" s="4" t="n">
        <v>0</v>
      </c>
      <c r="G41" s="4" t="n">
        <v>1</v>
      </c>
      <c r="H41" s="4" t="n">
        <v>0</v>
      </c>
      <c r="I41" s="4">
        <f>IF(D41&lt;=F41,0,IF(D41&lt;=G41,1,2))</f>
        <v/>
      </c>
      <c r="J41" s="4" t="n">
        <v>1</v>
      </c>
      <c r="K41" s="4">
        <f>J41*(I41-H41)/2</f>
        <v/>
      </c>
      <c r="L41" s="8" t="inlineStr">
        <is>
          <t>manual</t>
        </is>
      </c>
      <c r="M41" s="4" t="inlineStr">
        <is>
          <t>event</t>
        </is>
      </c>
      <c r="N41" s="4" t="inlineStr">
        <is>
          <t>live</t>
        </is>
      </c>
      <c r="O41" s="8" t="inlineStr"/>
    </row>
    <row r="42">
      <c r="A42" s="4" t="inlineStr">
        <is>
          <t>Pensions / demographics</t>
        </is>
      </c>
      <c r="B42" s="4" t="inlineStr">
        <is>
          <t>s14_pensions</t>
        </is>
      </c>
      <c r="C42" s="4" t="inlineStr">
        <is>
          <t>Large public-pension funded ratio (%)</t>
        </is>
      </c>
      <c r="D42" s="7" t="n">
        <v>82.5</v>
      </c>
      <c r="E42" s="4" t="inlineStr">
        <is>
          <t>lower_worse</t>
        </is>
      </c>
      <c r="F42" s="4" t="n">
        <v>80</v>
      </c>
      <c r="G42" s="4" t="n">
        <v>70</v>
      </c>
      <c r="H42" s="4" t="n">
        <v>1</v>
      </c>
      <c r="I42" s="4">
        <f>IF(D42&gt;=F42,0,IF(D42&gt;=G42,1,2))</f>
        <v/>
      </c>
      <c r="J42" s="4" t="n">
        <v>0.5</v>
      </c>
      <c r="K42" s="4">
        <f>J42*(I42-H42)/2</f>
        <v/>
      </c>
      <c r="L42" s="8" t="inlineStr">
        <is>
          <t>manual</t>
        </is>
      </c>
      <c r="M42" s="4" t="inlineStr">
        <is>
          <t>annual</t>
        </is>
      </c>
      <c r="N42" s="4" t="inlineStr">
        <is>
          <t>live</t>
        </is>
      </c>
      <c r="O42" s="8" t="inlineStr"/>
    </row>
    <row r="43">
      <c r="A43" s="4" t="inlineStr">
        <is>
          <t>AI power &amp; the grid bottleneck</t>
        </is>
      </c>
      <c r="B43" s="4" t="inlineStr">
        <is>
          <t>s15_ai_power</t>
        </is>
      </c>
      <c r="C43" s="4" t="inlineStr">
        <is>
          <t>Grid interconnection wait (months)</t>
        </is>
      </c>
      <c r="D43" s="7" t="n">
        <v>55</v>
      </c>
      <c r="E43" s="4" t="inlineStr">
        <is>
          <t>higher_worse</t>
        </is>
      </c>
      <c r="F43" s="4" t="n">
        <v>36</v>
      </c>
      <c r="G43" s="4" t="n">
        <v>50</v>
      </c>
      <c r="H43" s="4" t="n">
        <v>2</v>
      </c>
      <c r="I43" s="4">
        <f>IF(D43&lt;=F43,0,IF(D43&lt;=G43,1,2))</f>
        <v/>
      </c>
      <c r="J43" s="4" t="n">
        <v>0.5</v>
      </c>
      <c r="K43" s="4">
        <f>J43*(I43-H43)/2</f>
        <v/>
      </c>
      <c r="L43" s="8" t="inlineStr">
        <is>
          <t>manual</t>
        </is>
      </c>
      <c r="M43" s="4" t="inlineStr">
        <is>
          <t>quarterly</t>
        </is>
      </c>
      <c r="N43" s="4" t="inlineStr">
        <is>
          <t>live</t>
        </is>
      </c>
      <c r="O43" s="8" t="inlineStr">
        <is>
          <t>~22 months in 2000, ~54 in 2026.</t>
        </is>
      </c>
    </row>
    <row r="44">
      <c r="A44" s="4" t="inlineStr">
        <is>
          <t>AI power &amp; the grid bottleneck</t>
        </is>
      </c>
      <c r="B44" s="4" t="inlineStr">
        <is>
          <t>s15_ai_power</t>
        </is>
      </c>
      <c r="C44" s="4" t="inlineStr">
        <is>
          <t>Data-center moratoria / backlash (0 none / 1 spreading / 2 widespread)</t>
        </is>
      </c>
      <c r="D44" s="7" t="n">
        <v>2</v>
      </c>
      <c r="E44" s="4" t="inlineStr">
        <is>
          <t>higher_worse</t>
        </is>
      </c>
      <c r="F44" s="4" t="n">
        <v>0</v>
      </c>
      <c r="G44" s="4" t="n">
        <v>1</v>
      </c>
      <c r="H44" s="4" t="n">
        <v>1</v>
      </c>
      <c r="I44" s="4">
        <f>IF(D44&lt;=F44,0,IF(D44&lt;=G44,1,2))</f>
        <v/>
      </c>
      <c r="J44" s="4" t="n">
        <v>1</v>
      </c>
      <c r="K44" s="4">
        <f>J44*(I44-H44)/2</f>
        <v/>
      </c>
      <c r="L44" s="8" t="inlineStr">
        <is>
          <t>manual</t>
        </is>
      </c>
      <c r="M44" s="4" t="inlineStr">
        <is>
          <t>event</t>
        </is>
      </c>
      <c r="N44" s="4" t="inlineStr">
        <is>
          <t>live</t>
        </is>
      </c>
      <c r="O44" s="8" t="inlineStr"/>
    </row>
    <row r="45">
      <c r="A45" s="4" t="inlineStr">
        <is>
          <t>AI power &amp; the grid bottleneck</t>
        </is>
      </c>
      <c r="B45" s="4" t="inlineStr">
        <is>
          <t>s15_ai_power</t>
        </is>
      </c>
      <c r="C45" s="4" t="inlineStr">
        <is>
          <t>AI power-demand pressure (0 easing / 1 tight / 2 acute)</t>
        </is>
      </c>
      <c r="D45" s="7" t="n">
        <v>1</v>
      </c>
      <c r="E45" s="4" t="inlineStr">
        <is>
          <t>higher_worse</t>
        </is>
      </c>
      <c r="F45" s="4" t="n">
        <v>0</v>
      </c>
      <c r="G45" s="4" t="n">
        <v>1</v>
      </c>
      <c r="H45" s="4" t="n">
        <v>1</v>
      </c>
      <c r="I45" s="4">
        <f>IF(D45&lt;=F45,0,IF(D45&lt;=G45,1,2))</f>
        <v/>
      </c>
      <c r="J45" s="4" t="n">
        <v>1</v>
      </c>
      <c r="K45" s="4">
        <f>J45*(I45-H45)/2</f>
        <v/>
      </c>
      <c r="L45" s="8" t="inlineStr">
        <is>
          <t>manual</t>
        </is>
      </c>
      <c r="M45" s="4" t="inlineStr">
        <is>
          <t>quarterly</t>
        </is>
      </c>
      <c r="N45" s="4" t="inlineStr">
        <is>
          <t>live</t>
        </is>
      </c>
      <c r="O45" s="8" t="inlineStr">
        <is>
          <t>Wood Mac saw a late-2025 slowdown; watch capex guidance.</t>
        </is>
      </c>
    </row>
    <row r="46">
      <c r="A46" s="4" t="inlineStr">
        <is>
          <t>Copper &amp; the electrification deficit</t>
        </is>
      </c>
      <c r="B46" s="4" t="inlineStr">
        <is>
          <t>s16_copper</t>
        </is>
      </c>
      <c r="C46" s="4" t="inlineStr">
        <is>
          <t>Copper price (USD/lb, COMEX HG=F)</t>
        </is>
      </c>
      <c r="D46" s="7" t="n">
        <v>6.1715</v>
      </c>
      <c r="E46" s="4" t="inlineStr">
        <is>
          <t>higher_worse</t>
        </is>
      </c>
      <c r="F46" s="4" t="n">
        <v>5</v>
      </c>
      <c r="G46" s="4" t="n">
        <v>6</v>
      </c>
      <c r="H46" s="4" t="n">
        <v>1</v>
      </c>
      <c r="I46" s="4">
        <f>IF(D46&lt;=F46,0,IF(D46&lt;=G46,1,2))</f>
        <v/>
      </c>
      <c r="J46" s="4" t="n">
        <v>0.5</v>
      </c>
      <c r="K46" s="4">
        <f>J46*(I46-H46)/2</f>
        <v/>
      </c>
      <c r="L46" s="8" t="inlineStr">
        <is>
          <t>market:HG=F</t>
        </is>
      </c>
      <c r="M46" s="4" t="inlineStr">
        <is>
          <t>daily</t>
        </is>
      </c>
      <c r="N46" s="4" t="inlineStr">
        <is>
          <t>live</t>
        </is>
      </c>
      <c r="O46" s="8" t="inlineStr">
        <is>
          <t>~$12,000/ton = ~$5.44/lb.</t>
        </is>
      </c>
    </row>
    <row r="47">
      <c r="A47" s="4" t="inlineStr">
        <is>
          <t>Copper &amp; the electrification deficit</t>
        </is>
      </c>
      <c r="B47" s="4" t="inlineStr">
        <is>
          <t>s16_copper</t>
        </is>
      </c>
      <c r="C47" s="4" t="inlineStr">
        <is>
          <t>Major mine disruptions (0 none / 1 some / 2 cluster)</t>
        </is>
      </c>
      <c r="D47" s="7" t="n">
        <v>2</v>
      </c>
      <c r="E47" s="4" t="inlineStr">
        <is>
          <t>higher_worse</t>
        </is>
      </c>
      <c r="F47" s="4" t="n">
        <v>0</v>
      </c>
      <c r="G47" s="4" t="n">
        <v>1</v>
      </c>
      <c r="H47" s="4" t="n">
        <v>1</v>
      </c>
      <c r="I47" s="4">
        <f>IF(D47&lt;=F47,0,IF(D47&lt;=G47,1,2))</f>
        <v/>
      </c>
      <c r="J47" s="4" t="n">
        <v>1</v>
      </c>
      <c r="K47" s="4">
        <f>J47*(I47-H47)/2</f>
        <v/>
      </c>
      <c r="L47" s="8" t="inlineStr">
        <is>
          <t>manual</t>
        </is>
      </c>
      <c r="M47" s="4" t="inlineStr">
        <is>
          <t>event</t>
        </is>
      </c>
      <c r="N47" s="4" t="inlineStr">
        <is>
          <t>live</t>
        </is>
      </c>
      <c r="O47" s="8" t="inlineStr">
        <is>
          <t>Grasberg mud intrusion, Kamoa-Kakula flooding.</t>
        </is>
      </c>
    </row>
    <row r="48">
      <c r="A48" s="4" t="inlineStr">
        <is>
          <t>Copper &amp; the electrification deficit</t>
        </is>
      </c>
      <c r="B48" s="4" t="inlineStr">
        <is>
          <t>s16_copper</t>
        </is>
      </c>
      <c r="C48" s="4" t="inlineStr">
        <is>
          <t>Deficit timing (0 surplus / 1 balanced / 2 deficit)</t>
        </is>
      </c>
      <c r="D48" s="7" t="n">
        <v>0</v>
      </c>
      <c r="E48" s="4" t="inlineStr">
        <is>
          <t>higher_worse</t>
        </is>
      </c>
      <c r="F48" s="4" t="n">
        <v>0</v>
      </c>
      <c r="G48" s="4" t="n">
        <v>1</v>
      </c>
      <c r="H48" s="4" t="n">
        <v>1</v>
      </c>
      <c r="I48" s="4">
        <f>IF(D48&lt;=F48,0,IF(D48&lt;=G48,1,2))</f>
        <v/>
      </c>
      <c r="J48" s="4" t="n">
        <v>0.5</v>
      </c>
      <c r="K48" s="4">
        <f>J48*(I48-H48)/2</f>
        <v/>
      </c>
      <c r="L48" s="8" t="inlineStr">
        <is>
          <t>manual</t>
        </is>
      </c>
      <c r="M48" s="4" t="inlineStr">
        <is>
          <t>quarterly</t>
        </is>
      </c>
      <c r="N48" s="4" t="inlineStr">
        <is>
          <t>live</t>
        </is>
      </c>
      <c r="O48" s="8" t="inlineStr"/>
    </row>
    <row r="49">
      <c r="A49" s="4" t="inlineStr">
        <is>
          <t>Water - the underpriced input</t>
        </is>
      </c>
      <c r="B49" s="4" t="inlineStr">
        <is>
          <t>s17_water</t>
        </is>
      </c>
      <c r="C49" s="4" t="inlineStr">
        <is>
          <t>Drought in a chip/farm hub (0 none / 1 emerging / 2 acute)</t>
        </is>
      </c>
      <c r="D49" s="7" t="n">
        <v>2</v>
      </c>
      <c r="E49" s="4" t="inlineStr">
        <is>
          <t>higher_worse</t>
        </is>
      </c>
      <c r="F49" s="4" t="n">
        <v>0</v>
      </c>
      <c r="G49" s="4" t="n">
        <v>1</v>
      </c>
      <c r="H49" s="4" t="n">
        <v>1</v>
      </c>
      <c r="I49" s="4">
        <f>IF(D49&lt;=F49,0,IF(D49&lt;=G49,1,2))</f>
        <v/>
      </c>
      <c r="J49" s="4" t="n">
        <v>1</v>
      </c>
      <c r="K49" s="4">
        <f>J49*(I49-H49)/2</f>
        <v/>
      </c>
      <c r="L49" s="8" t="inlineStr">
        <is>
          <t>manual</t>
        </is>
      </c>
      <c r="M49" s="4" t="inlineStr">
        <is>
          <t>event</t>
        </is>
      </c>
      <c r="N49" s="4" t="inlineStr">
        <is>
          <t>live</t>
        </is>
      </c>
      <c r="O49" s="8" t="inlineStr"/>
    </row>
    <row r="50">
      <c r="A50" s="4" t="inlineStr">
        <is>
          <t>Water - the underpriced input</t>
        </is>
      </c>
      <c r="B50" s="4" t="inlineStr">
        <is>
          <t>s17_water</t>
        </is>
      </c>
      <c r="C50" s="4" t="inlineStr">
        <is>
          <t>Key reservoir / basin stress (0 normal / 1 low / 2 critical)</t>
        </is>
      </c>
      <c r="D50" s="7" t="n">
        <v>2</v>
      </c>
      <c r="E50" s="4" t="inlineStr">
        <is>
          <t>higher_worse</t>
        </is>
      </c>
      <c r="F50" s="4" t="n">
        <v>0</v>
      </c>
      <c r="G50" s="4" t="n">
        <v>1</v>
      </c>
      <c r="H50" s="4" t="n">
        <v>1</v>
      </c>
      <c r="I50" s="4">
        <f>IF(D50&lt;=F50,0,IF(D50&lt;=G50,1,2))</f>
        <v/>
      </c>
      <c r="J50" s="4" t="n">
        <v>0.5</v>
      </c>
      <c r="K50" s="4">
        <f>J50*(I50-H50)/2</f>
        <v/>
      </c>
      <c r="L50" s="8" t="inlineStr">
        <is>
          <t>manual</t>
        </is>
      </c>
      <c r="M50" s="4" t="inlineStr">
        <is>
          <t>quarterly</t>
        </is>
      </c>
      <c r="N50" s="4" t="inlineStr">
        <is>
          <t>live</t>
        </is>
      </c>
      <c r="O50" s="8" t="inlineStr"/>
    </row>
    <row r="51">
      <c r="A51" s="4" t="inlineStr">
        <is>
          <t>Water - the underpriced input</t>
        </is>
      </c>
      <c r="B51" s="4" t="inlineStr">
        <is>
          <t>s17_water</t>
        </is>
      </c>
      <c r="C51" s="4" t="inlineStr">
        <is>
          <t>Transboundary water dispute escalation (0 calm / 1 tense / 2 crisis)</t>
        </is>
      </c>
      <c r="D51" s="7" t="n">
        <v>2</v>
      </c>
      <c r="E51" s="4" t="inlineStr">
        <is>
          <t>higher_worse</t>
        </is>
      </c>
      <c r="F51" s="4" t="n">
        <v>0</v>
      </c>
      <c r="G51" s="4" t="n">
        <v>1</v>
      </c>
      <c r="H51" s="4" t="n">
        <v>0</v>
      </c>
      <c r="I51" s="4">
        <f>IF(D51&lt;=F51,0,IF(D51&lt;=G51,1,2))</f>
        <v/>
      </c>
      <c r="J51" s="4" t="n">
        <v>0.5</v>
      </c>
      <c r="K51" s="4">
        <f>J51*(I51-H51)/2</f>
        <v/>
      </c>
      <c r="L51" s="8" t="inlineStr">
        <is>
          <t>manual</t>
        </is>
      </c>
      <c r="M51" s="4" t="inlineStr">
        <is>
          <t>event</t>
        </is>
      </c>
      <c r="N51" s="4" t="inlineStr">
        <is>
          <t>live</t>
        </is>
      </c>
      <c r="O51" s="8" t="inlineStr"/>
    </row>
    <row r="52">
      <c r="A52" s="4" t="inlineStr">
        <is>
          <t>Food &amp; fertilizer fragility</t>
        </is>
      </c>
      <c r="B52" s="4" t="inlineStr">
        <is>
          <t>s18_food_fertilizer</t>
        </is>
      </c>
      <c r="C52" s="4" t="inlineStr">
        <is>
          <t>Food-price trend (0 falling / 1 elevated / 2 spiking)</t>
        </is>
      </c>
      <c r="D52" s="7" t="n">
        <v>1</v>
      </c>
      <c r="E52" s="4" t="inlineStr">
        <is>
          <t>higher_worse</t>
        </is>
      </c>
      <c r="F52" s="4" t="n">
        <v>0</v>
      </c>
      <c r="G52" s="4" t="n">
        <v>1</v>
      </c>
      <c r="H52" s="4" t="n">
        <v>1</v>
      </c>
      <c r="I52" s="4">
        <f>IF(D52&lt;=F52,0,IF(D52&lt;=G52,1,2))</f>
        <v/>
      </c>
      <c r="J52" s="4" t="n">
        <v>0.5</v>
      </c>
      <c r="K52" s="4">
        <f>J52*(I52-H52)/2</f>
        <v/>
      </c>
      <c r="L52" s="8" t="inlineStr">
        <is>
          <t>manual</t>
        </is>
      </c>
      <c r="M52" s="4" t="inlineStr">
        <is>
          <t>monthly</t>
        </is>
      </c>
      <c r="N52" s="4" t="inlineStr">
        <is>
          <t>live</t>
        </is>
      </c>
      <c r="O52" s="8" t="inlineStr"/>
    </row>
    <row r="53">
      <c r="A53" s="4" t="inlineStr">
        <is>
          <t>Food &amp; fertilizer fragility</t>
        </is>
      </c>
      <c r="B53" s="4" t="inlineStr">
        <is>
          <t>s18_food_fertilizer</t>
        </is>
      </c>
      <c r="C53" s="4" t="inlineStr">
        <is>
          <t>China fertilizer export curbs (0 lifted / 1 in place / 2 tightened)</t>
        </is>
      </c>
      <c r="D53" s="7" t="n">
        <v>1</v>
      </c>
      <c r="E53" s="4" t="inlineStr">
        <is>
          <t>higher_worse</t>
        </is>
      </c>
      <c r="F53" s="4" t="n">
        <v>0</v>
      </c>
      <c r="G53" s="4" t="n">
        <v>1</v>
      </c>
      <c r="H53" s="4" t="n">
        <v>1</v>
      </c>
      <c r="I53" s="4">
        <f>IF(D53&lt;=F53,0,IF(D53&lt;=G53,1,2))</f>
        <v/>
      </c>
      <c r="J53" s="4" t="n">
        <v>1</v>
      </c>
      <c r="K53" s="4">
        <f>J53*(I53-H53)/2</f>
        <v/>
      </c>
      <c r="L53" s="8" t="inlineStr">
        <is>
          <t>manual</t>
        </is>
      </c>
      <c r="M53" s="4" t="inlineStr">
        <is>
          <t>event</t>
        </is>
      </c>
      <c r="N53" s="4" t="inlineStr">
        <is>
          <t>live</t>
        </is>
      </c>
      <c r="O53" s="8" t="inlineStr">
        <is>
          <t>In place through late Aug 2026.</t>
        </is>
      </c>
    </row>
    <row r="54">
      <c r="A54" s="4" t="inlineStr">
        <is>
          <t>Food &amp; fertilizer fragility</t>
        </is>
      </c>
      <c r="B54" s="4" t="inlineStr">
        <is>
          <t>s18_food_fertilizer</t>
        </is>
      </c>
      <c r="C54" s="4" t="inlineStr">
        <is>
          <t>Hormuz/Gulf disruption to fertilizer inputs (0 clear / 1 disrupted / 2 cut)</t>
        </is>
      </c>
      <c r="D54" s="7" t="n">
        <v>1</v>
      </c>
      <c r="E54" s="4" t="inlineStr">
        <is>
          <t>higher_worse</t>
        </is>
      </c>
      <c r="F54" s="4" t="n">
        <v>0</v>
      </c>
      <c r="G54" s="4" t="n">
        <v>1</v>
      </c>
      <c r="H54" s="4" t="n">
        <v>1</v>
      </c>
      <c r="I54" s="4">
        <f>IF(D54&lt;=F54,0,IF(D54&lt;=G54,1,2))</f>
        <v/>
      </c>
      <c r="J54" s="4" t="n">
        <v>1</v>
      </c>
      <c r="K54" s="4">
        <f>J54*(I54-H54)/2</f>
        <v/>
      </c>
      <c r="L54" s="8" t="inlineStr">
        <is>
          <t>manual</t>
        </is>
      </c>
      <c r="M54" s="4" t="inlineStr">
        <is>
          <t>event</t>
        </is>
      </c>
      <c r="N54" s="4" t="inlineStr">
        <is>
          <t>live</t>
        </is>
      </c>
      <c r="O54" s="8" t="inlineStr"/>
    </row>
    <row r="55">
      <c r="A55" s="4" t="inlineStr">
        <is>
          <t>The lithography (ASML) chokepoint</t>
        </is>
      </c>
      <c r="B55" s="4" t="inlineStr">
        <is>
          <t>s19_lithography</t>
        </is>
      </c>
      <c r="C55" s="4" t="inlineStr">
        <is>
          <t>Taiwan / cross-strait tension (0 calm / 1 elevated / 2 crisis)</t>
        </is>
      </c>
      <c r="D55" s="7" t="n">
        <v>1</v>
      </c>
      <c r="E55" s="4" t="inlineStr">
        <is>
          <t>higher_worse</t>
        </is>
      </c>
      <c r="F55" s="4" t="n">
        <v>0</v>
      </c>
      <c r="G55" s="4" t="n">
        <v>1</v>
      </c>
      <c r="H55" s="4" t="n">
        <v>1</v>
      </c>
      <c r="I55" s="4">
        <f>IF(D55&lt;=F55,0,IF(D55&lt;=G55,1,2))</f>
        <v/>
      </c>
      <c r="J55" s="4" t="n">
        <v>1.5</v>
      </c>
      <c r="K55" s="4">
        <f>J55*(I55-H55)/2</f>
        <v/>
      </c>
      <c r="L55" s="8" t="inlineStr">
        <is>
          <t>manual</t>
        </is>
      </c>
      <c r="M55" s="4" t="inlineStr">
        <is>
          <t>event</t>
        </is>
      </c>
      <c r="N55" s="4" t="inlineStr">
        <is>
          <t>live</t>
        </is>
      </c>
      <c r="O55" s="8" t="inlineStr"/>
    </row>
    <row r="56">
      <c r="A56" s="4" t="inlineStr">
        <is>
          <t>The lithography (ASML) chokepoint</t>
        </is>
      </c>
      <c r="B56" s="4" t="inlineStr">
        <is>
          <t>s19_lithography</t>
        </is>
      </c>
      <c r="C56" s="4" t="inlineStr">
        <is>
          <t>Export-control escalation (0 stable / 1 tightening / 2 retaliation)</t>
        </is>
      </c>
      <c r="D56" s="7" t="n">
        <v>2</v>
      </c>
      <c r="E56" s="4" t="inlineStr">
        <is>
          <t>higher_worse</t>
        </is>
      </c>
      <c r="F56" s="4" t="n">
        <v>0</v>
      </c>
      <c r="G56" s="4" t="n">
        <v>1</v>
      </c>
      <c r="H56" s="4" t="n">
        <v>1</v>
      </c>
      <c r="I56" s="4">
        <f>IF(D56&lt;=F56,0,IF(D56&lt;=G56,1,2))</f>
        <v/>
      </c>
      <c r="J56" s="4" t="n">
        <v>0.5</v>
      </c>
      <c r="K56" s="4">
        <f>J56*(I56-H56)/2</f>
        <v/>
      </c>
      <c r="L56" s="8" t="inlineStr">
        <is>
          <t>manual</t>
        </is>
      </c>
      <c r="M56" s="4" t="inlineStr">
        <is>
          <t>event</t>
        </is>
      </c>
      <c r="N56" s="4" t="inlineStr">
        <is>
          <t>live</t>
        </is>
      </c>
      <c r="O56" s="8" t="inlineStr"/>
    </row>
    <row r="57">
      <c r="A57" s="4" t="inlineStr">
        <is>
          <t>The lithography (ASML) chokepoint</t>
        </is>
      </c>
      <c r="B57" s="4" t="inlineStr">
        <is>
          <t>s19_lithography</t>
        </is>
      </c>
      <c r="C57" s="4" t="inlineStr">
        <is>
          <t>Single-point concentration (0 easing / 1 high / 2 extreme)</t>
        </is>
      </c>
      <c r="D57" s="7" t="n">
        <v>1</v>
      </c>
      <c r="E57" s="4" t="inlineStr">
        <is>
          <t>higher_worse</t>
        </is>
      </c>
      <c r="F57" s="4" t="n">
        <v>0</v>
      </c>
      <c r="G57" s="4" t="n">
        <v>1</v>
      </c>
      <c r="H57" s="4" t="n">
        <v>1</v>
      </c>
      <c r="I57" s="4">
        <f>IF(D57&lt;=F57,0,IF(D57&lt;=G57,1,2))</f>
        <v/>
      </c>
      <c r="J57" s="4" t="n">
        <v>0.5</v>
      </c>
      <c r="K57" s="4">
        <f>J57*(I57-H57)/2</f>
        <v/>
      </c>
      <c r="L57" s="8" t="inlineStr">
        <is>
          <t>manual</t>
        </is>
      </c>
      <c r="M57" s="4" t="inlineStr">
        <is>
          <t>annual</t>
        </is>
      </c>
      <c r="N57" s="4" t="inlineStr">
        <is>
          <t>live</t>
        </is>
      </c>
      <c r="O57" s="8" t="inlineStr"/>
    </row>
    <row r="58">
      <c r="A58" s="4" t="inlineStr">
        <is>
          <t>Sea lanes &amp; undersea cables</t>
        </is>
      </c>
      <c r="B58" s="4" t="inlineStr">
        <is>
          <t>s20_sea_lanes</t>
        </is>
      </c>
      <c r="C58" s="4" t="inlineStr">
        <is>
          <t>Hormuz/Red Sea status (0 open / 1 contested / 2 closed)</t>
        </is>
      </c>
      <c r="D58" s="7" t="n">
        <v>1</v>
      </c>
      <c r="E58" s="4" t="inlineStr">
        <is>
          <t>higher_worse</t>
        </is>
      </c>
      <c r="F58" s="4" t="n">
        <v>0</v>
      </c>
      <c r="G58" s="4" t="n">
        <v>1</v>
      </c>
      <c r="H58" s="4" t="n">
        <v>2</v>
      </c>
      <c r="I58" s="4">
        <f>IF(D58&lt;=F58,0,IF(D58&lt;=G58,1,2))</f>
        <v/>
      </c>
      <c r="J58" s="4" t="n">
        <v>1</v>
      </c>
      <c r="K58" s="4">
        <f>J58*(I58-H58)/2</f>
        <v/>
      </c>
      <c r="L58" s="8" t="inlineStr">
        <is>
          <t>manual</t>
        </is>
      </c>
      <c r="M58" s="4" t="inlineStr">
        <is>
          <t>event</t>
        </is>
      </c>
      <c r="N58" s="4" t="inlineStr">
        <is>
          <t>live</t>
        </is>
      </c>
      <c r="O58" s="8" t="inlineStr">
        <is>
          <t>Closed for months in 2026; ceasefire slowly reopening.</t>
        </is>
      </c>
    </row>
    <row r="59">
      <c r="A59" s="4" t="inlineStr">
        <is>
          <t>Sea lanes &amp; undersea cables</t>
        </is>
      </c>
      <c r="B59" s="4" t="inlineStr">
        <is>
          <t>s20_sea_lanes</t>
        </is>
      </c>
      <c r="C59" s="4" t="inlineStr">
        <is>
          <t>WTI crude oil (USD/bbl, CL=F)</t>
        </is>
      </c>
      <c r="D59" s="7" t="n">
        <v>70.94</v>
      </c>
      <c r="E59" s="4" t="inlineStr">
        <is>
          <t>higher_worse</t>
        </is>
      </c>
      <c r="F59" s="4" t="n">
        <v>80</v>
      </c>
      <c r="G59" s="4" t="n">
        <v>100</v>
      </c>
      <c r="H59" s="4" t="n">
        <v>1</v>
      </c>
      <c r="I59" s="4">
        <f>IF(D59&lt;=F59,0,IF(D59&lt;=G59,1,2))</f>
        <v/>
      </c>
      <c r="J59" s="4" t="n">
        <v>1</v>
      </c>
      <c r="K59" s="4">
        <f>J59*(I59-H59)/2</f>
        <v/>
      </c>
      <c r="L59" s="8" t="inlineStr">
        <is>
          <t>market:CL=F</t>
        </is>
      </c>
      <c r="M59" s="4" t="inlineStr">
        <is>
          <t>daily</t>
        </is>
      </c>
      <c r="N59" s="4" t="inlineStr">
        <is>
          <t>live</t>
        </is>
      </c>
      <c r="O59" s="8" t="inlineStr"/>
    </row>
    <row r="60">
      <c r="A60" s="4" t="inlineStr">
        <is>
          <t>Sea lanes &amp; undersea cables</t>
        </is>
      </c>
      <c r="B60" s="4" t="inlineStr">
        <is>
          <t>s20_sea_lanes</t>
        </is>
      </c>
      <c r="C60" s="4" t="inlineStr">
        <is>
          <t>Undersea cable incidents (0 none / 1 threatened / 2 cut)</t>
        </is>
      </c>
      <c r="D60" s="7" t="n">
        <v>1</v>
      </c>
      <c r="E60" s="4" t="inlineStr">
        <is>
          <t>higher_worse</t>
        </is>
      </c>
      <c r="F60" s="4" t="n">
        <v>0</v>
      </c>
      <c r="G60" s="4" t="n">
        <v>1</v>
      </c>
      <c r="H60" s="4" t="n">
        <v>1</v>
      </c>
      <c r="I60" s="4">
        <f>IF(D60&lt;=F60,0,IF(D60&lt;=G60,1,2))</f>
        <v/>
      </c>
      <c r="J60" s="4" t="n">
        <v>0.5</v>
      </c>
      <c r="K60" s="4">
        <f>J60*(I60-H60)/2</f>
        <v/>
      </c>
      <c r="L60" s="8" t="inlineStr">
        <is>
          <t>manual</t>
        </is>
      </c>
      <c r="M60" s="4" t="inlineStr">
        <is>
          <t>event</t>
        </is>
      </c>
      <c r="N60" s="4" t="inlineStr">
        <is>
          <t>live</t>
        </is>
      </c>
      <c r="O60" s="8" t="inlineStr"/>
    </row>
    <row r="61">
      <c r="A61" s="4" t="inlineStr">
        <is>
          <t>Clearinghouses (financial chokepoint)</t>
        </is>
      </c>
      <c r="B61" s="4" t="inlineStr">
        <is>
          <t>s21_clearinghouses</t>
        </is>
      </c>
      <c r="C61" s="4" t="inlineStr">
        <is>
          <t>Equity volatility (VIX)</t>
        </is>
      </c>
      <c r="D61" s="7" t="n">
        <v>17.77</v>
      </c>
      <c r="E61" s="4" t="inlineStr">
        <is>
          <t>higher_worse</t>
        </is>
      </c>
      <c r="F61" s="4" t="n">
        <v>20</v>
      </c>
      <c r="G61" s="4" t="n">
        <v>30</v>
      </c>
      <c r="H61" s="4" t="n">
        <v>0</v>
      </c>
      <c r="I61" s="4">
        <f>IF(D61&lt;=F61,0,IF(D61&lt;=G61,1,2))</f>
        <v/>
      </c>
      <c r="J61" s="4" t="n">
        <v>1</v>
      </c>
      <c r="K61" s="4">
        <f>J61*(I61-H61)/2</f>
        <v/>
      </c>
      <c r="L61" s="8" t="inlineStr">
        <is>
          <t>market:^VIX</t>
        </is>
      </c>
      <c r="M61" s="4" t="inlineStr">
        <is>
          <t>daily</t>
        </is>
      </c>
      <c r="N61" s="4" t="inlineStr">
        <is>
          <t>live</t>
        </is>
      </c>
      <c r="O61" s="8" t="inlineStr"/>
    </row>
    <row r="62">
      <c r="A62" s="4" t="inlineStr">
        <is>
          <t>Clearinghouses (financial chokepoint)</t>
        </is>
      </c>
      <c r="B62" s="4" t="inlineStr">
        <is>
          <t>s21_clearinghouses</t>
        </is>
      </c>
      <c r="C62" s="4" t="inlineStr">
        <is>
          <t>Treasury volatility (MOVE)</t>
        </is>
      </c>
      <c r="D62" s="7" t="n">
        <v>66.79000000000001</v>
      </c>
      <c r="E62" s="4" t="inlineStr">
        <is>
          <t>higher_worse</t>
        </is>
      </c>
      <c r="F62" s="4" t="n">
        <v>100</v>
      </c>
      <c r="G62" s="4" t="n">
        <v>130</v>
      </c>
      <c r="H62" s="4" t="n">
        <v>0</v>
      </c>
      <c r="I62" s="4">
        <f>IF(D62&lt;=F62,0,IF(D62&lt;=G62,1,2))</f>
        <v/>
      </c>
      <c r="J62" s="4" t="n">
        <v>0.5</v>
      </c>
      <c r="K62" s="4">
        <f>J62*(I62-H62)/2</f>
        <v/>
      </c>
      <c r="L62" s="8" t="inlineStr">
        <is>
          <t>market:^MOVE</t>
        </is>
      </c>
      <c r="M62" s="4" t="inlineStr">
        <is>
          <t>daily</t>
        </is>
      </c>
      <c r="N62" s="4" t="inlineStr">
        <is>
          <t>live</t>
        </is>
      </c>
      <c r="O62" s="8" t="inlineStr"/>
    </row>
    <row r="63">
      <c r="A63" s="4" t="inlineStr">
        <is>
          <t>Clearinghouses (financial chokepoint)</t>
        </is>
      </c>
      <c r="B63" s="4" t="inlineStr">
        <is>
          <t>s21_clearinghouses</t>
        </is>
      </c>
      <c r="C63" s="4" t="inlineStr">
        <is>
          <t>Treasury-clearing rollout stress (0 smooth / 1 friction / 2 problems)</t>
        </is>
      </c>
      <c r="D63" s="7" t="n">
        <v>1</v>
      </c>
      <c r="E63" s="4" t="inlineStr">
        <is>
          <t>higher_worse</t>
        </is>
      </c>
      <c r="F63" s="4" t="n">
        <v>0</v>
      </c>
      <c r="G63" s="4" t="n">
        <v>1</v>
      </c>
      <c r="H63" s="4" t="n">
        <v>0</v>
      </c>
      <c r="I63" s="4">
        <f>IF(D63&lt;=F63,0,IF(D63&lt;=G63,1,2))</f>
        <v/>
      </c>
      <c r="J63" s="4" t="n">
        <v>0.5</v>
      </c>
      <c r="K63" s="4">
        <f>J63*(I63-H63)/2</f>
        <v/>
      </c>
      <c r="L63" s="8" t="inlineStr">
        <is>
          <t>manual</t>
        </is>
      </c>
      <c r="M63" s="4" t="inlineStr">
        <is>
          <t>event</t>
        </is>
      </c>
      <c r="N63" s="4" t="inlineStr">
        <is>
          <t>live</t>
        </is>
      </c>
      <c r="O63" s="8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30" customWidth="1" min="3" max="3"/>
    <col width="6" customWidth="1" min="4" max="4"/>
    <col width="8" customWidth="1" min="5" max="5"/>
    <col width="11" customWidth="1" min="6" max="6"/>
    <col width="8" customWidth="1" min="7" max="7"/>
  </cols>
  <sheetData>
    <row r="1">
      <c r="A1" s="3" t="inlineStr">
        <is>
          <t>Date</t>
        </is>
      </c>
      <c r="B1" s="3" t="inlineStr">
        <is>
          <t>Story ID</t>
        </is>
      </c>
      <c r="C1" s="3" t="inlineStr">
        <is>
          <t>Name</t>
        </is>
      </c>
      <c r="D1" s="3" t="inlineStr">
        <is>
          <t>Set</t>
        </is>
      </c>
      <c r="E1" s="3" t="inlineStr">
        <is>
          <t>Level</t>
        </is>
      </c>
      <c r="F1" s="3" t="inlineStr">
        <is>
          <t>Band</t>
        </is>
      </c>
      <c r="G1" s="3" t="inlineStr">
        <is>
          <t>Raw</t>
        </is>
      </c>
    </row>
    <row r="2">
      <c r="A2" s="9" t="inlineStr">
        <is>
          <t>2026-06-29</t>
        </is>
      </c>
      <c r="B2" s="9" t="inlineStr">
        <is>
          <t>s1_basis_trade</t>
        </is>
      </c>
      <c r="C2" s="9" t="inlineStr">
        <is>
          <t>Treasury basis trade (hidden leverage)</t>
        </is>
      </c>
      <c r="D2" s="9" t="inlineStr">
        <is>
          <t>1</t>
        </is>
      </c>
      <c r="E2" s="9" t="inlineStr">
        <is>
          <t>5</t>
        </is>
      </c>
      <c r="F2" s="9" t="inlineStr">
        <is>
          <t>Elevated</t>
        </is>
      </c>
      <c r="G2" s="9" t="inlineStr">
        <is>
          <t>5.0</t>
        </is>
      </c>
    </row>
    <row r="3">
      <c r="A3" s="9" t="inlineStr">
        <is>
          <t>2026-06-29</t>
        </is>
      </c>
      <c r="B3" s="9" t="inlineStr">
        <is>
          <t>s2_japan</t>
        </is>
      </c>
      <c r="C3" s="9" t="inlineStr">
        <is>
          <t>Japan fiscal / JGB / carry trade</t>
        </is>
      </c>
      <c r="D3" s="9" t="inlineStr">
        <is>
          <t>1</t>
        </is>
      </c>
      <c r="E3" s="9" t="inlineStr">
        <is>
          <t>6</t>
        </is>
      </c>
      <c r="F3" s="9" t="inlineStr">
        <is>
          <t>Elevated</t>
        </is>
      </c>
      <c r="G3" s="9" t="inlineStr">
        <is>
          <t>6.0</t>
        </is>
      </c>
    </row>
    <row r="4">
      <c r="A4" s="9" t="inlineStr">
        <is>
          <t>2026-06-29</t>
        </is>
      </c>
      <c r="B4" s="9" t="inlineStr">
        <is>
          <t>s3_private_credit</t>
        </is>
      </c>
      <c r="C4" s="9" t="inlineStr">
        <is>
          <t>Private credit's opaque expansion</t>
        </is>
      </c>
      <c r="D4" s="9" t="inlineStr">
        <is>
          <t>1</t>
        </is>
      </c>
      <c r="E4" s="9" t="inlineStr">
        <is>
          <t>5</t>
        </is>
      </c>
      <c r="F4" s="9" t="inlineStr">
        <is>
          <t>Elevated</t>
        </is>
      </c>
      <c r="G4" s="9" t="inlineStr">
        <is>
          <t>5.0</t>
        </is>
      </c>
    </row>
    <row r="5">
      <c r="A5" s="9" t="inlineStr">
        <is>
          <t>2026-06-29</t>
        </is>
      </c>
      <c r="B5" s="9" t="inlineStr">
        <is>
          <t>s4_dev_debt</t>
        </is>
      </c>
      <c r="C5" s="9" t="inlineStr">
        <is>
          <t>Developing-world debt crisis</t>
        </is>
      </c>
      <c r="D5" s="9" t="inlineStr">
        <is>
          <t>3</t>
        </is>
      </c>
      <c r="E5" s="9" t="inlineStr">
        <is>
          <t>5</t>
        </is>
      </c>
      <c r="F5" s="9" t="inlineStr">
        <is>
          <t>Elevated</t>
        </is>
      </c>
      <c r="G5" s="9" t="inlineStr">
        <is>
          <t>5.0</t>
        </is>
      </c>
    </row>
    <row r="6">
      <c r="A6" s="9" t="inlineStr">
        <is>
          <t>2026-06-29</t>
        </is>
      </c>
      <c r="B6" s="9" t="inlineStr">
        <is>
          <t>s5_china_deflation</t>
        </is>
      </c>
      <c r="C6" s="9" t="inlineStr">
        <is>
          <t>China's exported deflation</t>
        </is>
      </c>
      <c r="D6" s="9" t="inlineStr">
        <is>
          <t>4</t>
        </is>
      </c>
      <c r="E6" s="9" t="inlineStr">
        <is>
          <t>6</t>
        </is>
      </c>
      <c r="F6" s="9" t="inlineStr">
        <is>
          <t>Elevated</t>
        </is>
      </c>
      <c r="G6" s="9" t="inlineStr">
        <is>
          <t>6.0</t>
        </is>
      </c>
    </row>
    <row r="7">
      <c r="A7" s="9" t="inlineStr">
        <is>
          <t>2026-06-29</t>
        </is>
      </c>
      <c r="B7" s="9" t="inlineStr">
        <is>
          <t>s6_rare_earths</t>
        </is>
      </c>
      <c r="C7" s="9" t="inlineStr">
        <is>
          <t>Critical minerals as a weapon</t>
        </is>
      </c>
      <c r="D7" s="9" t="inlineStr">
        <is>
          <t>4</t>
        </is>
      </c>
      <c r="E7" s="9" t="inlineStr">
        <is>
          <t>6</t>
        </is>
      </c>
      <c r="F7" s="9" t="inlineStr">
        <is>
          <t>Elevated</t>
        </is>
      </c>
      <c r="G7" s="9" t="inlineStr">
        <is>
          <t>6.0</t>
        </is>
      </c>
    </row>
    <row r="8">
      <c r="A8" s="9" t="inlineStr">
        <is>
          <t>2026-06-29</t>
        </is>
      </c>
      <c r="B8" s="9" t="inlineStr">
        <is>
          <t>s7_stablecoins</t>
        </is>
      </c>
      <c r="C8" s="9" t="inlineStr">
        <is>
          <t>Stablecoins &amp; Treasury demand</t>
        </is>
      </c>
      <c r="D8" s="9" t="inlineStr">
        <is>
          <t>1</t>
        </is>
      </c>
      <c r="E8" s="9" t="inlineStr">
        <is>
          <t>4</t>
        </is>
      </c>
      <c r="F8" s="9" t="inlineStr">
        <is>
          <t>Moderate</t>
        </is>
      </c>
      <c r="G8" s="9" t="inlineStr">
        <is>
          <t>4.0</t>
        </is>
      </c>
    </row>
    <row r="9">
      <c r="A9" s="9" t="inlineStr">
        <is>
          <t>2026-06-29</t>
        </is>
      </c>
      <c r="B9" s="9" t="inlineStr">
        <is>
          <t>s8_ai_capex</t>
        </is>
      </c>
      <c r="C9" s="9" t="inlineStr">
        <is>
          <t>AI build-out circular financing</t>
        </is>
      </c>
      <c r="D9" s="9" t="inlineStr">
        <is>
          <t>2</t>
        </is>
      </c>
      <c r="E9" s="9" t="inlineStr">
        <is>
          <t>6</t>
        </is>
      </c>
      <c r="F9" s="9" t="inlineStr">
        <is>
          <t>Elevated</t>
        </is>
      </c>
      <c r="G9" s="9" t="inlineStr">
        <is>
          <t>6.0</t>
        </is>
      </c>
    </row>
    <row r="10">
      <c r="A10" s="9" t="inlineStr">
        <is>
          <t>2026-06-29</t>
        </is>
      </c>
      <c r="B10" s="9" t="inlineStr">
        <is>
          <t>s9_cre</t>
        </is>
      </c>
      <c r="C10" s="9" t="inlineStr">
        <is>
          <t>CRE maturity wall / regional banks</t>
        </is>
      </c>
      <c r="D10" s="9" t="inlineStr">
        <is>
          <t>2</t>
        </is>
      </c>
      <c r="E10" s="9" t="inlineStr">
        <is>
          <t>5</t>
        </is>
      </c>
      <c r="F10" s="9" t="inlineStr">
        <is>
          <t>Elevated</t>
        </is>
      </c>
      <c r="G10" s="9" t="inlineStr">
        <is>
          <t>5.0</t>
        </is>
      </c>
    </row>
    <row r="11">
      <c r="A11" s="9" t="inlineStr">
        <is>
          <t>2026-06-29</t>
        </is>
      </c>
      <c r="B11" s="9" t="inlineStr">
        <is>
          <t>s10_france</t>
        </is>
      </c>
      <c r="C11" s="9" t="inlineStr">
        <is>
          <t>France / eurozone fragility</t>
        </is>
      </c>
      <c r="D11" s="9" t="inlineStr">
        <is>
          <t>3</t>
        </is>
      </c>
      <c r="E11" s="9" t="inlineStr">
        <is>
          <t>4</t>
        </is>
      </c>
      <c r="F11" s="9" t="inlineStr">
        <is>
          <t>Moderate</t>
        </is>
      </c>
      <c r="G11" s="9" t="inlineStr">
        <is>
          <t>4.0</t>
        </is>
      </c>
    </row>
    <row r="12">
      <c r="A12" s="9" t="inlineStr">
        <is>
          <t>2026-06-29</t>
        </is>
      </c>
      <c r="B12" s="9" t="inlineStr">
        <is>
          <t>s11_consumer_debt</t>
        </is>
      </c>
      <c r="C12" s="9" t="inlineStr">
        <is>
          <t>Hidden consumer debt</t>
        </is>
      </c>
      <c r="D12" s="9" t="inlineStr">
        <is>
          <t>2</t>
        </is>
      </c>
      <c r="E12" s="9" t="inlineStr">
        <is>
          <t>5</t>
        </is>
      </c>
      <c r="F12" s="9" t="inlineStr">
        <is>
          <t>Elevated</t>
        </is>
      </c>
      <c r="G12" s="9" t="inlineStr">
        <is>
          <t>5.0</t>
        </is>
      </c>
    </row>
    <row r="13">
      <c r="A13" s="9" t="inlineStr">
        <is>
          <t>2026-06-29</t>
        </is>
      </c>
      <c r="B13" s="9" t="inlineStr">
        <is>
          <t>s12_gold_dedollar</t>
        </is>
      </c>
      <c r="C13" s="9" t="inlineStr">
        <is>
          <t>Gold / de-dollarization</t>
        </is>
      </c>
      <c r="D13" s="9" t="inlineStr">
        <is>
          <t>3</t>
        </is>
      </c>
      <c r="E13" s="9" t="inlineStr">
        <is>
          <t>3</t>
        </is>
      </c>
      <c r="F13" s="9" t="inlineStr">
        <is>
          <t>Moderate</t>
        </is>
      </c>
      <c r="G13" s="9" t="inlineStr">
        <is>
          <t>3.0</t>
        </is>
      </c>
    </row>
    <row r="14">
      <c r="A14" s="9" t="inlineStr">
        <is>
          <t>2026-06-29</t>
        </is>
      </c>
      <c r="B14" s="9" t="inlineStr">
        <is>
          <t>s13_insurance</t>
        </is>
      </c>
      <c r="C14" s="9" t="inlineStr">
        <is>
          <t>Insurance retreat</t>
        </is>
      </c>
      <c r="D14" s="9" t="inlineStr">
        <is>
          <t>2</t>
        </is>
      </c>
      <c r="E14" s="9" t="inlineStr">
        <is>
          <t>5</t>
        </is>
      </c>
      <c r="F14" s="9" t="inlineStr">
        <is>
          <t>Elevated</t>
        </is>
      </c>
      <c r="G14" s="9" t="inlineStr">
        <is>
          <t>5.0</t>
        </is>
      </c>
    </row>
    <row r="15">
      <c r="A15" s="9" t="inlineStr">
        <is>
          <t>2026-06-29</t>
        </is>
      </c>
      <c r="B15" s="9" t="inlineStr">
        <is>
          <t>s14_pensions</t>
        </is>
      </c>
      <c r="C15" s="9" t="inlineStr">
        <is>
          <t>Pensions / demographics</t>
        </is>
      </c>
      <c r="D15" s="9" t="inlineStr">
        <is>
          <t>3</t>
        </is>
      </c>
      <c r="E15" s="9" t="inlineStr">
        <is>
          <t>4</t>
        </is>
      </c>
      <c r="F15" s="9" t="inlineStr">
        <is>
          <t>Moderate</t>
        </is>
      </c>
      <c r="G15" s="9" t="inlineStr">
        <is>
          <t>4.0</t>
        </is>
      </c>
    </row>
    <row r="16">
      <c r="A16" s="9" t="inlineStr">
        <is>
          <t>2026-06-29</t>
        </is>
      </c>
      <c r="B16" s="9" t="inlineStr">
        <is>
          <t>s15_ai_power</t>
        </is>
      </c>
      <c r="C16" s="9" t="inlineStr">
        <is>
          <t>AI power &amp; the grid bottleneck</t>
        </is>
      </c>
      <c r="D16" s="9" t="inlineStr">
        <is>
          <t>5</t>
        </is>
      </c>
      <c r="E16" s="9" t="inlineStr">
        <is>
          <t>6</t>
        </is>
      </c>
      <c r="F16" s="9" t="inlineStr">
        <is>
          <t>Elevated</t>
        </is>
      </c>
      <c r="G16" s="9" t="inlineStr">
        <is>
          <t>6.0</t>
        </is>
      </c>
    </row>
    <row r="17">
      <c r="A17" s="9" t="inlineStr">
        <is>
          <t>2026-06-29</t>
        </is>
      </c>
      <c r="B17" s="9" t="inlineStr">
        <is>
          <t>s16_copper</t>
        </is>
      </c>
      <c r="C17" s="9" t="inlineStr">
        <is>
          <t>Copper &amp; the electrification deficit</t>
        </is>
      </c>
      <c r="D17" s="9" t="inlineStr">
        <is>
          <t>5</t>
        </is>
      </c>
      <c r="E17" s="9" t="inlineStr">
        <is>
          <t>4</t>
        </is>
      </c>
      <c r="F17" s="9" t="inlineStr">
        <is>
          <t>Moderate</t>
        </is>
      </c>
      <c r="G17" s="9" t="inlineStr">
        <is>
          <t>4.0</t>
        </is>
      </c>
    </row>
    <row r="18">
      <c r="A18" s="9" t="inlineStr">
        <is>
          <t>2026-06-29</t>
        </is>
      </c>
      <c r="B18" s="9" t="inlineStr">
        <is>
          <t>s17_water</t>
        </is>
      </c>
      <c r="C18" s="9" t="inlineStr">
        <is>
          <t>Water - the underpriced input</t>
        </is>
      </c>
      <c r="D18" s="9" t="inlineStr">
        <is>
          <t>5</t>
        </is>
      </c>
      <c r="E18" s="9" t="inlineStr">
        <is>
          <t>4</t>
        </is>
      </c>
      <c r="F18" s="9" t="inlineStr">
        <is>
          <t>Moderate</t>
        </is>
      </c>
      <c r="G18" s="9" t="inlineStr">
        <is>
          <t>4.0</t>
        </is>
      </c>
    </row>
    <row r="19">
      <c r="A19" s="9" t="inlineStr">
        <is>
          <t>2026-06-29</t>
        </is>
      </c>
      <c r="B19" s="9" t="inlineStr">
        <is>
          <t>s18_food_fertilizer</t>
        </is>
      </c>
      <c r="C19" s="9" t="inlineStr">
        <is>
          <t>Food &amp; fertilizer fragility</t>
        </is>
      </c>
      <c r="D19" s="9" t="inlineStr">
        <is>
          <t>5</t>
        </is>
      </c>
      <c r="E19" s="9" t="inlineStr">
        <is>
          <t>6</t>
        </is>
      </c>
      <c r="F19" s="9" t="inlineStr">
        <is>
          <t>Elevated</t>
        </is>
      </c>
      <c r="G19" s="9" t="inlineStr">
        <is>
          <t>6.0</t>
        </is>
      </c>
    </row>
    <row r="20">
      <c r="A20" s="9" t="inlineStr">
        <is>
          <t>2026-06-29</t>
        </is>
      </c>
      <c r="B20" s="9" t="inlineStr">
        <is>
          <t>s19_lithography</t>
        </is>
      </c>
      <c r="C20" s="9" t="inlineStr">
        <is>
          <t>The lithography (ASML) chokepoint</t>
        </is>
      </c>
      <c r="D20" s="9" t="inlineStr">
        <is>
          <t>4</t>
        </is>
      </c>
      <c r="E20" s="9" t="inlineStr">
        <is>
          <t>5</t>
        </is>
      </c>
      <c r="F20" s="9" t="inlineStr">
        <is>
          <t>Elevated</t>
        </is>
      </c>
      <c r="G20" s="9" t="inlineStr">
        <is>
          <t>5.0</t>
        </is>
      </c>
    </row>
    <row r="21">
      <c r="A21" s="9" t="inlineStr">
        <is>
          <t>2026-06-29</t>
        </is>
      </c>
      <c r="B21" s="9" t="inlineStr">
        <is>
          <t>s20_sea_lanes</t>
        </is>
      </c>
      <c r="C21" s="9" t="inlineStr">
        <is>
          <t>Sea lanes &amp; undersea cables</t>
        </is>
      </c>
      <c r="D21" s="9" t="inlineStr">
        <is>
          <t>4</t>
        </is>
      </c>
      <c r="E21" s="9" t="inlineStr">
        <is>
          <t>7</t>
        </is>
      </c>
      <c r="F21" s="9" t="inlineStr">
        <is>
          <t>High</t>
        </is>
      </c>
      <c r="G21" s="9" t="inlineStr">
        <is>
          <t>7.0</t>
        </is>
      </c>
    </row>
    <row r="22">
      <c r="A22" s="9" t="inlineStr">
        <is>
          <t>2026-06-29</t>
        </is>
      </c>
      <c r="B22" s="9" t="inlineStr">
        <is>
          <t>s21_clearinghouses</t>
        </is>
      </c>
      <c r="C22" s="9" t="inlineStr">
        <is>
          <t>Clearinghouses (financial chokepoint)</t>
        </is>
      </c>
      <c r="D22" s="9" t="inlineStr">
        <is>
          <t>1</t>
        </is>
      </c>
      <c r="E22" s="9" t="inlineStr">
        <is>
          <t>4</t>
        </is>
      </c>
      <c r="F22" s="9" t="inlineStr">
        <is>
          <t>Moderate</t>
        </is>
      </c>
      <c r="G22" s="9" t="inlineStr">
        <is>
          <t>4.0</t>
        </is>
      </c>
    </row>
    <row r="23">
      <c r="A23" s="9" t="inlineStr">
        <is>
          <t>2026-06-29</t>
        </is>
      </c>
      <c r="B23" s="9" t="inlineStr">
        <is>
          <t>s1_basis_trade</t>
        </is>
      </c>
      <c r="C23" s="9" t="inlineStr">
        <is>
          <t>Treasury basis trade (hidden leverage)</t>
        </is>
      </c>
      <c r="D23" s="9" t="inlineStr">
        <is>
          <t>1</t>
        </is>
      </c>
      <c r="E23" s="9" t="inlineStr">
        <is>
          <t>5</t>
        </is>
      </c>
      <c r="F23" s="9" t="inlineStr">
        <is>
          <t>Elevated</t>
        </is>
      </c>
      <c r="G23" s="9" t="inlineStr">
        <is>
          <t>5.0</t>
        </is>
      </c>
    </row>
    <row r="24">
      <c r="A24" s="9" t="inlineStr">
        <is>
          <t>2026-06-29</t>
        </is>
      </c>
      <c r="B24" s="9" t="inlineStr">
        <is>
          <t>s2_japan</t>
        </is>
      </c>
      <c r="C24" s="9" t="inlineStr">
        <is>
          <t>Japan fiscal / JGB / carry trade</t>
        </is>
      </c>
      <c r="D24" s="9" t="inlineStr">
        <is>
          <t>1</t>
        </is>
      </c>
      <c r="E24" s="9" t="inlineStr">
        <is>
          <t>6</t>
        </is>
      </c>
      <c r="F24" s="9" t="inlineStr">
        <is>
          <t>Elevated</t>
        </is>
      </c>
      <c r="G24" s="9" t="inlineStr">
        <is>
          <t>6.0</t>
        </is>
      </c>
    </row>
    <row r="25">
      <c r="A25" s="9" t="inlineStr">
        <is>
          <t>2026-06-29</t>
        </is>
      </c>
      <c r="B25" s="9" t="inlineStr">
        <is>
          <t>s3_private_credit</t>
        </is>
      </c>
      <c r="C25" s="9" t="inlineStr">
        <is>
          <t>Private credit's opaque expansion</t>
        </is>
      </c>
      <c r="D25" s="9" t="inlineStr">
        <is>
          <t>1</t>
        </is>
      </c>
      <c r="E25" s="9" t="inlineStr">
        <is>
          <t>5</t>
        </is>
      </c>
      <c r="F25" s="9" t="inlineStr">
        <is>
          <t>Elevated</t>
        </is>
      </c>
      <c r="G25" s="9" t="inlineStr">
        <is>
          <t>5.0</t>
        </is>
      </c>
    </row>
    <row r="26">
      <c r="A26" s="9" t="inlineStr">
        <is>
          <t>2026-06-29</t>
        </is>
      </c>
      <c r="B26" s="9" t="inlineStr">
        <is>
          <t>s4_dev_debt</t>
        </is>
      </c>
      <c r="C26" s="9" t="inlineStr">
        <is>
          <t>Developing-world debt crisis</t>
        </is>
      </c>
      <c r="D26" s="9" t="inlineStr">
        <is>
          <t>3</t>
        </is>
      </c>
      <c r="E26" s="9" t="inlineStr">
        <is>
          <t>5</t>
        </is>
      </c>
      <c r="F26" s="9" t="inlineStr">
        <is>
          <t>Elevated</t>
        </is>
      </c>
      <c r="G26" s="9" t="inlineStr">
        <is>
          <t>5.0</t>
        </is>
      </c>
    </row>
    <row r="27">
      <c r="A27" s="9" t="inlineStr">
        <is>
          <t>2026-06-29</t>
        </is>
      </c>
      <c r="B27" s="9" t="inlineStr">
        <is>
          <t>s5_china_deflation</t>
        </is>
      </c>
      <c r="C27" s="9" t="inlineStr">
        <is>
          <t>China's exported deflation</t>
        </is>
      </c>
      <c r="D27" s="9" t="inlineStr">
        <is>
          <t>4</t>
        </is>
      </c>
      <c r="E27" s="9" t="inlineStr">
        <is>
          <t>6</t>
        </is>
      </c>
      <c r="F27" s="9" t="inlineStr">
        <is>
          <t>Elevated</t>
        </is>
      </c>
      <c r="G27" s="9" t="inlineStr">
        <is>
          <t>6.0</t>
        </is>
      </c>
    </row>
    <row r="28">
      <c r="A28" s="9" t="inlineStr">
        <is>
          <t>2026-06-29</t>
        </is>
      </c>
      <c r="B28" s="9" t="inlineStr">
        <is>
          <t>s6_rare_earths</t>
        </is>
      </c>
      <c r="C28" s="9" t="inlineStr">
        <is>
          <t>Critical minerals as a weapon</t>
        </is>
      </c>
      <c r="D28" s="9" t="inlineStr">
        <is>
          <t>4</t>
        </is>
      </c>
      <c r="E28" s="9" t="inlineStr">
        <is>
          <t>6</t>
        </is>
      </c>
      <c r="F28" s="9" t="inlineStr">
        <is>
          <t>Elevated</t>
        </is>
      </c>
      <c r="G28" s="9" t="inlineStr">
        <is>
          <t>6.0</t>
        </is>
      </c>
    </row>
    <row r="29">
      <c r="A29" s="9" t="inlineStr">
        <is>
          <t>2026-06-29</t>
        </is>
      </c>
      <c r="B29" s="9" t="inlineStr">
        <is>
          <t>s7_stablecoins</t>
        </is>
      </c>
      <c r="C29" s="9" t="inlineStr">
        <is>
          <t>Stablecoins &amp; Treasury demand</t>
        </is>
      </c>
      <c r="D29" s="9" t="inlineStr">
        <is>
          <t>1</t>
        </is>
      </c>
      <c r="E29" s="9" t="inlineStr">
        <is>
          <t>4</t>
        </is>
      </c>
      <c r="F29" s="9" t="inlineStr">
        <is>
          <t>Moderate</t>
        </is>
      </c>
      <c r="G29" s="9" t="inlineStr">
        <is>
          <t>4.0</t>
        </is>
      </c>
    </row>
    <row r="30">
      <c r="A30" s="9" t="inlineStr">
        <is>
          <t>2026-06-29</t>
        </is>
      </c>
      <c r="B30" s="9" t="inlineStr">
        <is>
          <t>s8_ai_capex</t>
        </is>
      </c>
      <c r="C30" s="9" t="inlineStr">
        <is>
          <t>AI build-out circular financing</t>
        </is>
      </c>
      <c r="D30" s="9" t="inlineStr">
        <is>
          <t>2</t>
        </is>
      </c>
      <c r="E30" s="9" t="inlineStr">
        <is>
          <t>6</t>
        </is>
      </c>
      <c r="F30" s="9" t="inlineStr">
        <is>
          <t>Elevated</t>
        </is>
      </c>
      <c r="G30" s="9" t="inlineStr">
        <is>
          <t>6.0</t>
        </is>
      </c>
    </row>
    <row r="31">
      <c r="A31" s="9" t="inlineStr">
        <is>
          <t>2026-06-29</t>
        </is>
      </c>
      <c r="B31" s="9" t="inlineStr">
        <is>
          <t>s9_cre</t>
        </is>
      </c>
      <c r="C31" s="9" t="inlineStr">
        <is>
          <t>CRE maturity wall / regional banks</t>
        </is>
      </c>
      <c r="D31" s="9" t="inlineStr">
        <is>
          <t>2</t>
        </is>
      </c>
      <c r="E31" s="9" t="inlineStr">
        <is>
          <t>5</t>
        </is>
      </c>
      <c r="F31" s="9" t="inlineStr">
        <is>
          <t>Elevated</t>
        </is>
      </c>
      <c r="G31" s="9" t="inlineStr">
        <is>
          <t>5.0</t>
        </is>
      </c>
    </row>
    <row r="32">
      <c r="A32" s="9" t="inlineStr">
        <is>
          <t>2026-06-29</t>
        </is>
      </c>
      <c r="B32" s="9" t="inlineStr">
        <is>
          <t>s10_france</t>
        </is>
      </c>
      <c r="C32" s="9" t="inlineStr">
        <is>
          <t>France / eurozone fragility</t>
        </is>
      </c>
      <c r="D32" s="9" t="inlineStr">
        <is>
          <t>3</t>
        </is>
      </c>
      <c r="E32" s="9" t="inlineStr">
        <is>
          <t>4</t>
        </is>
      </c>
      <c r="F32" s="9" t="inlineStr">
        <is>
          <t>Moderate</t>
        </is>
      </c>
      <c r="G32" s="9" t="inlineStr">
        <is>
          <t>4.0</t>
        </is>
      </c>
    </row>
    <row r="33">
      <c r="A33" s="9" t="inlineStr">
        <is>
          <t>2026-06-29</t>
        </is>
      </c>
      <c r="B33" s="9" t="inlineStr">
        <is>
          <t>s11_consumer_debt</t>
        </is>
      </c>
      <c r="C33" s="9" t="inlineStr">
        <is>
          <t>Hidden consumer debt</t>
        </is>
      </c>
      <c r="D33" s="9" t="inlineStr">
        <is>
          <t>2</t>
        </is>
      </c>
      <c r="E33" s="9" t="inlineStr">
        <is>
          <t>5</t>
        </is>
      </c>
      <c r="F33" s="9" t="inlineStr">
        <is>
          <t>Elevated</t>
        </is>
      </c>
      <c r="G33" s="9" t="inlineStr">
        <is>
          <t>5.0</t>
        </is>
      </c>
    </row>
    <row r="34">
      <c r="A34" s="9" t="inlineStr">
        <is>
          <t>2026-06-29</t>
        </is>
      </c>
      <c r="B34" s="9" t="inlineStr">
        <is>
          <t>s12_gold_dedollar</t>
        </is>
      </c>
      <c r="C34" s="9" t="inlineStr">
        <is>
          <t>Gold / de-dollarization</t>
        </is>
      </c>
      <c r="D34" s="9" t="inlineStr">
        <is>
          <t>3</t>
        </is>
      </c>
      <c r="E34" s="9" t="inlineStr">
        <is>
          <t>3</t>
        </is>
      </c>
      <c r="F34" s="9" t="inlineStr">
        <is>
          <t>Moderate</t>
        </is>
      </c>
      <c r="G34" s="9" t="inlineStr">
        <is>
          <t>3.0</t>
        </is>
      </c>
    </row>
    <row r="35">
      <c r="A35" s="9" t="inlineStr">
        <is>
          <t>2026-06-29</t>
        </is>
      </c>
      <c r="B35" s="9" t="inlineStr">
        <is>
          <t>s13_insurance</t>
        </is>
      </c>
      <c r="C35" s="9" t="inlineStr">
        <is>
          <t>Insurance retreat</t>
        </is>
      </c>
      <c r="D35" s="9" t="inlineStr">
        <is>
          <t>2</t>
        </is>
      </c>
      <c r="E35" s="9" t="inlineStr">
        <is>
          <t>5</t>
        </is>
      </c>
      <c r="F35" s="9" t="inlineStr">
        <is>
          <t>Elevated</t>
        </is>
      </c>
      <c r="G35" s="9" t="inlineStr">
        <is>
          <t>5.0</t>
        </is>
      </c>
    </row>
    <row r="36">
      <c r="A36" s="9" t="inlineStr">
        <is>
          <t>2026-06-29</t>
        </is>
      </c>
      <c r="B36" s="9" t="inlineStr">
        <is>
          <t>s14_pensions</t>
        </is>
      </c>
      <c r="C36" s="9" t="inlineStr">
        <is>
          <t>Pensions / demographics</t>
        </is>
      </c>
      <c r="D36" s="9" t="inlineStr">
        <is>
          <t>3</t>
        </is>
      </c>
      <c r="E36" s="9" t="inlineStr">
        <is>
          <t>4</t>
        </is>
      </c>
      <c r="F36" s="9" t="inlineStr">
        <is>
          <t>Moderate</t>
        </is>
      </c>
      <c r="G36" s="9" t="inlineStr">
        <is>
          <t>4.0</t>
        </is>
      </c>
    </row>
    <row r="37">
      <c r="A37" s="9" t="inlineStr">
        <is>
          <t>2026-06-29</t>
        </is>
      </c>
      <c r="B37" s="9" t="inlineStr">
        <is>
          <t>s15_ai_power</t>
        </is>
      </c>
      <c r="C37" s="9" t="inlineStr">
        <is>
          <t>AI power &amp; the grid bottleneck</t>
        </is>
      </c>
      <c r="D37" s="9" t="inlineStr">
        <is>
          <t>5</t>
        </is>
      </c>
      <c r="E37" s="9" t="inlineStr">
        <is>
          <t>6</t>
        </is>
      </c>
      <c r="F37" s="9" t="inlineStr">
        <is>
          <t>Elevated</t>
        </is>
      </c>
      <c r="G37" s="9" t="inlineStr">
        <is>
          <t>6.0</t>
        </is>
      </c>
    </row>
    <row r="38">
      <c r="A38" s="9" t="inlineStr">
        <is>
          <t>2026-06-29</t>
        </is>
      </c>
      <c r="B38" s="9" t="inlineStr">
        <is>
          <t>s16_copper</t>
        </is>
      </c>
      <c r="C38" s="9" t="inlineStr">
        <is>
          <t>Copper &amp; the electrification deficit</t>
        </is>
      </c>
      <c r="D38" s="9" t="inlineStr">
        <is>
          <t>5</t>
        </is>
      </c>
      <c r="E38" s="9" t="inlineStr">
        <is>
          <t>4</t>
        </is>
      </c>
      <c r="F38" s="9" t="inlineStr">
        <is>
          <t>Moderate</t>
        </is>
      </c>
      <c r="G38" s="9" t="inlineStr">
        <is>
          <t>4.25</t>
        </is>
      </c>
    </row>
    <row r="39">
      <c r="A39" s="9" t="inlineStr">
        <is>
          <t>2026-06-29</t>
        </is>
      </c>
      <c r="B39" s="9" t="inlineStr">
        <is>
          <t>s17_water</t>
        </is>
      </c>
      <c r="C39" s="9" t="inlineStr">
        <is>
          <t>Water - the underpriced input</t>
        </is>
      </c>
      <c r="D39" s="9" t="inlineStr">
        <is>
          <t>5</t>
        </is>
      </c>
      <c r="E39" s="9" t="inlineStr">
        <is>
          <t>4</t>
        </is>
      </c>
      <c r="F39" s="9" t="inlineStr">
        <is>
          <t>Moderate</t>
        </is>
      </c>
      <c r="G39" s="9" t="inlineStr">
        <is>
          <t>4.0</t>
        </is>
      </c>
    </row>
    <row r="40">
      <c r="A40" s="9" t="inlineStr">
        <is>
          <t>2026-06-29</t>
        </is>
      </c>
      <c r="B40" s="9" t="inlineStr">
        <is>
          <t>s18_food_fertilizer</t>
        </is>
      </c>
      <c r="C40" s="9" t="inlineStr">
        <is>
          <t>Food &amp; fertilizer fragility</t>
        </is>
      </c>
      <c r="D40" s="9" t="inlineStr">
        <is>
          <t>5</t>
        </is>
      </c>
      <c r="E40" s="9" t="inlineStr">
        <is>
          <t>6</t>
        </is>
      </c>
      <c r="F40" s="9" t="inlineStr">
        <is>
          <t>Elevated</t>
        </is>
      </c>
      <c r="G40" s="9" t="inlineStr">
        <is>
          <t>6.0</t>
        </is>
      </c>
    </row>
    <row r="41">
      <c r="A41" s="9" t="inlineStr">
        <is>
          <t>2026-06-29</t>
        </is>
      </c>
      <c r="B41" s="9" t="inlineStr">
        <is>
          <t>s19_lithography</t>
        </is>
      </c>
      <c r="C41" s="9" t="inlineStr">
        <is>
          <t>The lithography (ASML) chokepoint</t>
        </is>
      </c>
      <c r="D41" s="9" t="inlineStr">
        <is>
          <t>4</t>
        </is>
      </c>
      <c r="E41" s="9" t="inlineStr">
        <is>
          <t>5</t>
        </is>
      </c>
      <c r="F41" s="9" t="inlineStr">
        <is>
          <t>Elevated</t>
        </is>
      </c>
      <c r="G41" s="9" t="inlineStr">
        <is>
          <t>5.0</t>
        </is>
      </c>
    </row>
    <row r="42">
      <c r="A42" s="9" t="inlineStr">
        <is>
          <t>2026-06-29</t>
        </is>
      </c>
      <c r="B42" s="9" t="inlineStr">
        <is>
          <t>s20_sea_lanes</t>
        </is>
      </c>
      <c r="C42" s="9" t="inlineStr">
        <is>
          <t>Sea lanes &amp; undersea cables</t>
        </is>
      </c>
      <c r="D42" s="9" t="inlineStr">
        <is>
          <t>4</t>
        </is>
      </c>
      <c r="E42" s="9" t="inlineStr">
        <is>
          <t>6</t>
        </is>
      </c>
      <c r="F42" s="9" t="inlineStr">
        <is>
          <t>Elevated</t>
        </is>
      </c>
      <c r="G42" s="9" t="inlineStr">
        <is>
          <t>6.5</t>
        </is>
      </c>
    </row>
    <row r="43">
      <c r="A43" s="9" t="inlineStr">
        <is>
          <t>2026-06-29</t>
        </is>
      </c>
      <c r="B43" s="9" t="inlineStr">
        <is>
          <t>s21_clearinghouses</t>
        </is>
      </c>
      <c r="C43" s="9" t="inlineStr">
        <is>
          <t>Clearinghouses (financial chokepoint)</t>
        </is>
      </c>
      <c r="D43" s="9" t="inlineStr">
        <is>
          <t>1</t>
        </is>
      </c>
      <c r="E43" s="9" t="inlineStr">
        <is>
          <t>4</t>
        </is>
      </c>
      <c r="F43" s="9" t="inlineStr">
        <is>
          <t>Moderate</t>
        </is>
      </c>
      <c r="G43" s="9" t="inlineStr">
        <is>
          <t>4.0</t>
        </is>
      </c>
    </row>
    <row r="44">
      <c r="A44" s="9" t="inlineStr">
        <is>
          <t>2026-06-29</t>
        </is>
      </c>
      <c r="B44" s="9" t="inlineStr">
        <is>
          <t>s1_basis_trade</t>
        </is>
      </c>
      <c r="C44" s="9" t="inlineStr">
        <is>
          <t>Treasury basis trade (hidden leverage)</t>
        </is>
      </c>
      <c r="D44" s="9" t="inlineStr">
        <is>
          <t>1</t>
        </is>
      </c>
      <c r="E44" s="9" t="inlineStr">
        <is>
          <t>5</t>
        </is>
      </c>
      <c r="F44" s="9" t="inlineStr">
        <is>
          <t>Elevated</t>
        </is>
      </c>
      <c r="G44" s="9" t="inlineStr">
        <is>
          <t>5.0</t>
        </is>
      </c>
    </row>
    <row r="45">
      <c r="A45" s="9" t="inlineStr">
        <is>
          <t>2026-06-29</t>
        </is>
      </c>
      <c r="B45" s="9" t="inlineStr">
        <is>
          <t>s2_japan</t>
        </is>
      </c>
      <c r="C45" s="9" t="inlineStr">
        <is>
          <t>Japan fiscal / JGB / carry trade</t>
        </is>
      </c>
      <c r="D45" s="9" t="inlineStr">
        <is>
          <t>1</t>
        </is>
      </c>
      <c r="E45" s="9" t="inlineStr">
        <is>
          <t>6</t>
        </is>
      </c>
      <c r="F45" s="9" t="inlineStr">
        <is>
          <t>Elevated</t>
        </is>
      </c>
      <c r="G45" s="9" t="inlineStr">
        <is>
          <t>6.0</t>
        </is>
      </c>
    </row>
    <row r="46">
      <c r="A46" s="9" t="inlineStr">
        <is>
          <t>2026-06-29</t>
        </is>
      </c>
      <c r="B46" s="9" t="inlineStr">
        <is>
          <t>s3_private_credit</t>
        </is>
      </c>
      <c r="C46" s="9" t="inlineStr">
        <is>
          <t>Private credit's opaque expansion</t>
        </is>
      </c>
      <c r="D46" s="9" t="inlineStr">
        <is>
          <t>1</t>
        </is>
      </c>
      <c r="E46" s="9" t="inlineStr">
        <is>
          <t>5</t>
        </is>
      </c>
      <c r="F46" s="9" t="inlineStr">
        <is>
          <t>Elevated</t>
        </is>
      </c>
      <c r="G46" s="9" t="inlineStr">
        <is>
          <t>5.0</t>
        </is>
      </c>
    </row>
    <row r="47">
      <c r="A47" s="9" t="inlineStr">
        <is>
          <t>2026-06-29</t>
        </is>
      </c>
      <c r="B47" s="9" t="inlineStr">
        <is>
          <t>s4_dev_debt</t>
        </is>
      </c>
      <c r="C47" s="9" t="inlineStr">
        <is>
          <t>Developing-world debt crisis</t>
        </is>
      </c>
      <c r="D47" s="9" t="inlineStr">
        <is>
          <t>3</t>
        </is>
      </c>
      <c r="E47" s="9" t="inlineStr">
        <is>
          <t>5</t>
        </is>
      </c>
      <c r="F47" s="9" t="inlineStr">
        <is>
          <t>Elevated</t>
        </is>
      </c>
      <c r="G47" s="9" t="inlineStr">
        <is>
          <t>5.0</t>
        </is>
      </c>
    </row>
    <row r="48">
      <c r="A48" s="9" t="inlineStr">
        <is>
          <t>2026-06-29</t>
        </is>
      </c>
      <c r="B48" s="9" t="inlineStr">
        <is>
          <t>s5_china_deflation</t>
        </is>
      </c>
      <c r="C48" s="9" t="inlineStr">
        <is>
          <t>China's exported deflation</t>
        </is>
      </c>
      <c r="D48" s="9" t="inlineStr">
        <is>
          <t>4</t>
        </is>
      </c>
      <c r="E48" s="9" t="inlineStr">
        <is>
          <t>6</t>
        </is>
      </c>
      <c r="F48" s="9" t="inlineStr">
        <is>
          <t>Elevated</t>
        </is>
      </c>
      <c r="G48" s="9" t="inlineStr">
        <is>
          <t>6.0</t>
        </is>
      </c>
    </row>
    <row r="49">
      <c r="A49" s="9" t="inlineStr">
        <is>
          <t>2026-06-29</t>
        </is>
      </c>
      <c r="B49" s="9" t="inlineStr">
        <is>
          <t>s6_rare_earths</t>
        </is>
      </c>
      <c r="C49" s="9" t="inlineStr">
        <is>
          <t>Critical minerals as a weapon</t>
        </is>
      </c>
      <c r="D49" s="9" t="inlineStr">
        <is>
          <t>4</t>
        </is>
      </c>
      <c r="E49" s="9" t="inlineStr">
        <is>
          <t>6</t>
        </is>
      </c>
      <c r="F49" s="9" t="inlineStr">
        <is>
          <t>Elevated</t>
        </is>
      </c>
      <c r="G49" s="9" t="inlineStr">
        <is>
          <t>6.0</t>
        </is>
      </c>
    </row>
    <row r="50">
      <c r="A50" s="9" t="inlineStr">
        <is>
          <t>2026-06-29</t>
        </is>
      </c>
      <c r="B50" s="9" t="inlineStr">
        <is>
          <t>s7_stablecoins</t>
        </is>
      </c>
      <c r="C50" s="9" t="inlineStr">
        <is>
          <t>Stablecoins &amp; Treasury demand</t>
        </is>
      </c>
      <c r="D50" s="9" t="inlineStr">
        <is>
          <t>1</t>
        </is>
      </c>
      <c r="E50" s="9" t="inlineStr">
        <is>
          <t>4</t>
        </is>
      </c>
      <c r="F50" s="9" t="inlineStr">
        <is>
          <t>Moderate</t>
        </is>
      </c>
      <c r="G50" s="9" t="inlineStr">
        <is>
          <t>4.0</t>
        </is>
      </c>
    </row>
    <row r="51">
      <c r="A51" s="9" t="inlineStr">
        <is>
          <t>2026-06-29</t>
        </is>
      </c>
      <c r="B51" s="9" t="inlineStr">
        <is>
          <t>s8_ai_capex</t>
        </is>
      </c>
      <c r="C51" s="9" t="inlineStr">
        <is>
          <t>AI build-out circular financing</t>
        </is>
      </c>
      <c r="D51" s="9" t="inlineStr">
        <is>
          <t>2</t>
        </is>
      </c>
      <c r="E51" s="9" t="inlineStr">
        <is>
          <t>6</t>
        </is>
      </c>
      <c r="F51" s="9" t="inlineStr">
        <is>
          <t>Elevated</t>
        </is>
      </c>
      <c r="G51" s="9" t="inlineStr">
        <is>
          <t>6.0</t>
        </is>
      </c>
    </row>
    <row r="52">
      <c r="A52" s="9" t="inlineStr">
        <is>
          <t>2026-06-29</t>
        </is>
      </c>
      <c r="B52" s="9" t="inlineStr">
        <is>
          <t>s9_cre</t>
        </is>
      </c>
      <c r="C52" s="9" t="inlineStr">
        <is>
          <t>CRE maturity wall / regional banks</t>
        </is>
      </c>
      <c r="D52" s="9" t="inlineStr">
        <is>
          <t>2</t>
        </is>
      </c>
      <c r="E52" s="9" t="inlineStr">
        <is>
          <t>5</t>
        </is>
      </c>
      <c r="F52" s="9" t="inlineStr">
        <is>
          <t>Elevated</t>
        </is>
      </c>
      <c r="G52" s="9" t="inlineStr">
        <is>
          <t>5.0</t>
        </is>
      </c>
    </row>
    <row r="53">
      <c r="A53" s="9" t="inlineStr">
        <is>
          <t>2026-06-29</t>
        </is>
      </c>
      <c r="B53" s="9" t="inlineStr">
        <is>
          <t>s10_france</t>
        </is>
      </c>
      <c r="C53" s="9" t="inlineStr">
        <is>
          <t>France / eurozone fragility</t>
        </is>
      </c>
      <c r="D53" s="9" t="inlineStr">
        <is>
          <t>3</t>
        </is>
      </c>
      <c r="E53" s="9" t="inlineStr">
        <is>
          <t>4</t>
        </is>
      </c>
      <c r="F53" s="9" t="inlineStr">
        <is>
          <t>Moderate</t>
        </is>
      </c>
      <c r="G53" s="9" t="inlineStr">
        <is>
          <t>4.0</t>
        </is>
      </c>
    </row>
    <row r="54">
      <c r="A54" s="9" t="inlineStr">
        <is>
          <t>2026-06-29</t>
        </is>
      </c>
      <c r="B54" s="9" t="inlineStr">
        <is>
          <t>s11_consumer_debt</t>
        </is>
      </c>
      <c r="C54" s="9" t="inlineStr">
        <is>
          <t>Hidden consumer debt</t>
        </is>
      </c>
      <c r="D54" s="9" t="inlineStr">
        <is>
          <t>2</t>
        </is>
      </c>
      <c r="E54" s="9" t="inlineStr">
        <is>
          <t>5</t>
        </is>
      </c>
      <c r="F54" s="9" t="inlineStr">
        <is>
          <t>Elevated</t>
        </is>
      </c>
      <c r="G54" s="9" t="inlineStr">
        <is>
          <t>5.0</t>
        </is>
      </c>
    </row>
    <row r="55">
      <c r="A55" s="9" t="inlineStr">
        <is>
          <t>2026-06-29</t>
        </is>
      </c>
      <c r="B55" s="9" t="inlineStr">
        <is>
          <t>s12_gold_dedollar</t>
        </is>
      </c>
      <c r="C55" s="9" t="inlineStr">
        <is>
          <t>Gold / de-dollarization</t>
        </is>
      </c>
      <c r="D55" s="9" t="inlineStr">
        <is>
          <t>3</t>
        </is>
      </c>
      <c r="E55" s="9" t="inlineStr">
        <is>
          <t>3</t>
        </is>
      </c>
      <c r="F55" s="9" t="inlineStr">
        <is>
          <t>Moderate</t>
        </is>
      </c>
      <c r="G55" s="9" t="inlineStr">
        <is>
          <t>3.0</t>
        </is>
      </c>
    </row>
    <row r="56">
      <c r="A56" s="9" t="inlineStr">
        <is>
          <t>2026-06-29</t>
        </is>
      </c>
      <c r="B56" s="9" t="inlineStr">
        <is>
          <t>s13_insurance</t>
        </is>
      </c>
      <c r="C56" s="9" t="inlineStr">
        <is>
          <t>Insurance retreat</t>
        </is>
      </c>
      <c r="D56" s="9" t="inlineStr">
        <is>
          <t>2</t>
        </is>
      </c>
      <c r="E56" s="9" t="inlineStr">
        <is>
          <t>5</t>
        </is>
      </c>
      <c r="F56" s="9" t="inlineStr">
        <is>
          <t>Elevated</t>
        </is>
      </c>
      <c r="G56" s="9" t="inlineStr">
        <is>
          <t>5.0</t>
        </is>
      </c>
    </row>
    <row r="57">
      <c r="A57" s="9" t="inlineStr">
        <is>
          <t>2026-06-29</t>
        </is>
      </c>
      <c r="B57" s="9" t="inlineStr">
        <is>
          <t>s14_pensions</t>
        </is>
      </c>
      <c r="C57" s="9" t="inlineStr">
        <is>
          <t>Pensions / demographics</t>
        </is>
      </c>
      <c r="D57" s="9" t="inlineStr">
        <is>
          <t>3</t>
        </is>
      </c>
      <c r="E57" s="9" t="inlineStr">
        <is>
          <t>4</t>
        </is>
      </c>
      <c r="F57" s="9" t="inlineStr">
        <is>
          <t>Moderate</t>
        </is>
      </c>
      <c r="G57" s="9" t="inlineStr">
        <is>
          <t>4.0</t>
        </is>
      </c>
    </row>
    <row r="58">
      <c r="A58" s="9" t="inlineStr">
        <is>
          <t>2026-06-29</t>
        </is>
      </c>
      <c r="B58" s="9" t="inlineStr">
        <is>
          <t>s15_ai_power</t>
        </is>
      </c>
      <c r="C58" s="9" t="inlineStr">
        <is>
          <t>AI power &amp; the grid bottleneck</t>
        </is>
      </c>
      <c r="D58" s="9" t="inlineStr">
        <is>
          <t>5</t>
        </is>
      </c>
      <c r="E58" s="9" t="inlineStr">
        <is>
          <t>6</t>
        </is>
      </c>
      <c r="F58" s="9" t="inlineStr">
        <is>
          <t>Elevated</t>
        </is>
      </c>
      <c r="G58" s="9" t="inlineStr">
        <is>
          <t>6.0</t>
        </is>
      </c>
    </row>
    <row r="59">
      <c r="A59" s="9" t="inlineStr">
        <is>
          <t>2026-06-29</t>
        </is>
      </c>
      <c r="B59" s="9" t="inlineStr">
        <is>
          <t>s16_copper</t>
        </is>
      </c>
      <c r="C59" s="9" t="inlineStr">
        <is>
          <t>Copper &amp; the electrification deficit</t>
        </is>
      </c>
      <c r="D59" s="9" t="inlineStr">
        <is>
          <t>5</t>
        </is>
      </c>
      <c r="E59" s="9" t="inlineStr">
        <is>
          <t>4</t>
        </is>
      </c>
      <c r="F59" s="9" t="inlineStr">
        <is>
          <t>Moderate</t>
        </is>
      </c>
      <c r="G59" s="9" t="inlineStr">
        <is>
          <t>4.25</t>
        </is>
      </c>
    </row>
    <row r="60">
      <c r="A60" s="9" t="inlineStr">
        <is>
          <t>2026-06-29</t>
        </is>
      </c>
      <c r="B60" s="9" t="inlineStr">
        <is>
          <t>s17_water</t>
        </is>
      </c>
      <c r="C60" s="9" t="inlineStr">
        <is>
          <t>Water - the underpriced input</t>
        </is>
      </c>
      <c r="D60" s="9" t="inlineStr">
        <is>
          <t>5</t>
        </is>
      </c>
      <c r="E60" s="9" t="inlineStr">
        <is>
          <t>4</t>
        </is>
      </c>
      <c r="F60" s="9" t="inlineStr">
        <is>
          <t>Moderate</t>
        </is>
      </c>
      <c r="G60" s="9" t="inlineStr">
        <is>
          <t>4.0</t>
        </is>
      </c>
    </row>
    <row r="61">
      <c r="A61" s="9" t="inlineStr">
        <is>
          <t>2026-06-29</t>
        </is>
      </c>
      <c r="B61" s="9" t="inlineStr">
        <is>
          <t>s18_food_fertilizer</t>
        </is>
      </c>
      <c r="C61" s="9" t="inlineStr">
        <is>
          <t>Food &amp; fertilizer fragility</t>
        </is>
      </c>
      <c r="D61" s="9" t="inlineStr">
        <is>
          <t>5</t>
        </is>
      </c>
      <c r="E61" s="9" t="inlineStr">
        <is>
          <t>6</t>
        </is>
      </c>
      <c r="F61" s="9" t="inlineStr">
        <is>
          <t>Elevated</t>
        </is>
      </c>
      <c r="G61" s="9" t="inlineStr">
        <is>
          <t>6.0</t>
        </is>
      </c>
    </row>
    <row r="62">
      <c r="A62" s="9" t="inlineStr">
        <is>
          <t>2026-06-29</t>
        </is>
      </c>
      <c r="B62" s="9" t="inlineStr">
        <is>
          <t>s19_lithography</t>
        </is>
      </c>
      <c r="C62" s="9" t="inlineStr">
        <is>
          <t>The lithography (ASML) chokepoint</t>
        </is>
      </c>
      <c r="D62" s="9" t="inlineStr">
        <is>
          <t>4</t>
        </is>
      </c>
      <c r="E62" s="9" t="inlineStr">
        <is>
          <t>5</t>
        </is>
      </c>
      <c r="F62" s="9" t="inlineStr">
        <is>
          <t>Elevated</t>
        </is>
      </c>
      <c r="G62" s="9" t="inlineStr">
        <is>
          <t>5.0</t>
        </is>
      </c>
    </row>
    <row r="63">
      <c r="A63" s="9" t="inlineStr">
        <is>
          <t>2026-06-29</t>
        </is>
      </c>
      <c r="B63" s="9" t="inlineStr">
        <is>
          <t>s20_sea_lanes</t>
        </is>
      </c>
      <c r="C63" s="9" t="inlineStr">
        <is>
          <t>Sea lanes &amp; undersea cables</t>
        </is>
      </c>
      <c r="D63" s="9" t="inlineStr">
        <is>
          <t>4</t>
        </is>
      </c>
      <c r="E63" s="9" t="inlineStr">
        <is>
          <t>6</t>
        </is>
      </c>
      <c r="F63" s="9" t="inlineStr">
        <is>
          <t>Elevated</t>
        </is>
      </c>
      <c r="G63" s="9" t="inlineStr">
        <is>
          <t>6.5</t>
        </is>
      </c>
    </row>
    <row r="64">
      <c r="A64" s="9" t="inlineStr">
        <is>
          <t>2026-06-29</t>
        </is>
      </c>
      <c r="B64" s="9" t="inlineStr">
        <is>
          <t>s21_clearinghouses</t>
        </is>
      </c>
      <c r="C64" s="9" t="inlineStr">
        <is>
          <t>Clearinghouses (financial chokepoint)</t>
        </is>
      </c>
      <c r="D64" s="9" t="inlineStr">
        <is>
          <t>1</t>
        </is>
      </c>
      <c r="E64" s="9" t="inlineStr">
        <is>
          <t>4</t>
        </is>
      </c>
      <c r="F64" s="9" t="inlineStr">
        <is>
          <t>Moderate</t>
        </is>
      </c>
      <c r="G64" s="9" t="inlineStr">
        <is>
          <t>4.0</t>
        </is>
      </c>
    </row>
    <row r="65">
      <c r="A65" s="9" t="inlineStr">
        <is>
          <t>2026-06-29</t>
        </is>
      </c>
      <c r="B65" s="9" t="inlineStr">
        <is>
          <t>s1_basis_trade</t>
        </is>
      </c>
      <c r="C65" s="9" t="inlineStr">
        <is>
          <t>Treasury basis trade (hidden leverage)</t>
        </is>
      </c>
      <c r="D65" s="9" t="inlineStr">
        <is>
          <t>1</t>
        </is>
      </c>
      <c r="E65" s="9" t="inlineStr">
        <is>
          <t>5</t>
        </is>
      </c>
      <c r="F65" s="9" t="inlineStr">
        <is>
          <t>Elevated</t>
        </is>
      </c>
      <c r="G65" s="9" t="inlineStr">
        <is>
          <t>5.0</t>
        </is>
      </c>
    </row>
    <row r="66">
      <c r="A66" s="9" t="inlineStr">
        <is>
          <t>2026-06-29</t>
        </is>
      </c>
      <c r="B66" s="9" t="inlineStr">
        <is>
          <t>s2_japan</t>
        </is>
      </c>
      <c r="C66" s="9" t="inlineStr">
        <is>
          <t>Japan fiscal / JGB / carry trade</t>
        </is>
      </c>
      <c r="D66" s="9" t="inlineStr">
        <is>
          <t>1</t>
        </is>
      </c>
      <c r="E66" s="9" t="inlineStr">
        <is>
          <t>6</t>
        </is>
      </c>
      <c r="F66" s="9" t="inlineStr">
        <is>
          <t>Elevated</t>
        </is>
      </c>
      <c r="G66" s="9" t="inlineStr">
        <is>
          <t>6.0</t>
        </is>
      </c>
    </row>
    <row r="67">
      <c r="A67" s="9" t="inlineStr">
        <is>
          <t>2026-06-29</t>
        </is>
      </c>
      <c r="B67" s="9" t="inlineStr">
        <is>
          <t>s3_private_credit</t>
        </is>
      </c>
      <c r="C67" s="9" t="inlineStr">
        <is>
          <t>Private credit's opaque expansion</t>
        </is>
      </c>
      <c r="D67" s="9" t="inlineStr">
        <is>
          <t>1</t>
        </is>
      </c>
      <c r="E67" s="9" t="inlineStr">
        <is>
          <t>5</t>
        </is>
      </c>
      <c r="F67" s="9" t="inlineStr">
        <is>
          <t>Elevated</t>
        </is>
      </c>
      <c r="G67" s="9" t="inlineStr">
        <is>
          <t>5.0</t>
        </is>
      </c>
    </row>
    <row r="68">
      <c r="A68" s="9" t="inlineStr">
        <is>
          <t>2026-06-29</t>
        </is>
      </c>
      <c r="B68" s="9" t="inlineStr">
        <is>
          <t>s4_dev_debt</t>
        </is>
      </c>
      <c r="C68" s="9" t="inlineStr">
        <is>
          <t>Developing-world debt crisis</t>
        </is>
      </c>
      <c r="D68" s="9" t="inlineStr">
        <is>
          <t>3</t>
        </is>
      </c>
      <c r="E68" s="9" t="inlineStr">
        <is>
          <t>5</t>
        </is>
      </c>
      <c r="F68" s="9" t="inlineStr">
        <is>
          <t>Elevated</t>
        </is>
      </c>
      <c r="G68" s="9" t="inlineStr">
        <is>
          <t>5.0</t>
        </is>
      </c>
    </row>
    <row r="69">
      <c r="A69" s="9" t="inlineStr">
        <is>
          <t>2026-06-29</t>
        </is>
      </c>
      <c r="B69" s="9" t="inlineStr">
        <is>
          <t>s5_china_deflation</t>
        </is>
      </c>
      <c r="C69" s="9" t="inlineStr">
        <is>
          <t>China's exported deflation</t>
        </is>
      </c>
      <c r="D69" s="9" t="inlineStr">
        <is>
          <t>4</t>
        </is>
      </c>
      <c r="E69" s="9" t="inlineStr">
        <is>
          <t>6</t>
        </is>
      </c>
      <c r="F69" s="9" t="inlineStr">
        <is>
          <t>Elevated</t>
        </is>
      </c>
      <c r="G69" s="9" t="inlineStr">
        <is>
          <t>6.0</t>
        </is>
      </c>
    </row>
    <row r="70">
      <c r="A70" s="9" t="inlineStr">
        <is>
          <t>2026-06-29</t>
        </is>
      </c>
      <c r="B70" s="9" t="inlineStr">
        <is>
          <t>s6_rare_earths</t>
        </is>
      </c>
      <c r="C70" s="9" t="inlineStr">
        <is>
          <t>Critical minerals as a weapon</t>
        </is>
      </c>
      <c r="D70" s="9" t="inlineStr">
        <is>
          <t>4</t>
        </is>
      </c>
      <c r="E70" s="9" t="inlineStr">
        <is>
          <t>6</t>
        </is>
      </c>
      <c r="F70" s="9" t="inlineStr">
        <is>
          <t>Elevated</t>
        </is>
      </c>
      <c r="G70" s="9" t="inlineStr">
        <is>
          <t>6.0</t>
        </is>
      </c>
    </row>
    <row r="71">
      <c r="A71" s="9" t="inlineStr">
        <is>
          <t>2026-06-29</t>
        </is>
      </c>
      <c r="B71" s="9" t="inlineStr">
        <is>
          <t>s7_stablecoins</t>
        </is>
      </c>
      <c r="C71" s="9" t="inlineStr">
        <is>
          <t>Stablecoins &amp; Treasury demand</t>
        </is>
      </c>
      <c r="D71" s="9" t="inlineStr">
        <is>
          <t>1</t>
        </is>
      </c>
      <c r="E71" s="9" t="inlineStr">
        <is>
          <t>4</t>
        </is>
      </c>
      <c r="F71" s="9" t="inlineStr">
        <is>
          <t>Moderate</t>
        </is>
      </c>
      <c r="G71" s="9" t="inlineStr">
        <is>
          <t>4.0</t>
        </is>
      </c>
    </row>
    <row r="72">
      <c r="A72" s="9" t="inlineStr">
        <is>
          <t>2026-06-29</t>
        </is>
      </c>
      <c r="B72" s="9" t="inlineStr">
        <is>
          <t>s8_ai_capex</t>
        </is>
      </c>
      <c r="C72" s="9" t="inlineStr">
        <is>
          <t>AI build-out circular financing</t>
        </is>
      </c>
      <c r="D72" s="9" t="inlineStr">
        <is>
          <t>2</t>
        </is>
      </c>
      <c r="E72" s="9" t="inlineStr">
        <is>
          <t>6</t>
        </is>
      </c>
      <c r="F72" s="9" t="inlineStr">
        <is>
          <t>Elevated</t>
        </is>
      </c>
      <c r="G72" s="9" t="inlineStr">
        <is>
          <t>6.0</t>
        </is>
      </c>
    </row>
    <row r="73">
      <c r="A73" s="9" t="inlineStr">
        <is>
          <t>2026-06-29</t>
        </is>
      </c>
      <c r="B73" s="9" t="inlineStr">
        <is>
          <t>s9_cre</t>
        </is>
      </c>
      <c r="C73" s="9" t="inlineStr">
        <is>
          <t>CRE maturity wall / regional banks</t>
        </is>
      </c>
      <c r="D73" s="9" t="inlineStr">
        <is>
          <t>2</t>
        </is>
      </c>
      <c r="E73" s="9" t="inlineStr">
        <is>
          <t>5</t>
        </is>
      </c>
      <c r="F73" s="9" t="inlineStr">
        <is>
          <t>Elevated</t>
        </is>
      </c>
      <c r="G73" s="9" t="inlineStr">
        <is>
          <t>5.0</t>
        </is>
      </c>
    </row>
    <row r="74">
      <c r="A74" s="9" t="inlineStr">
        <is>
          <t>2026-06-29</t>
        </is>
      </c>
      <c r="B74" s="9" t="inlineStr">
        <is>
          <t>s10_france</t>
        </is>
      </c>
      <c r="C74" s="9" t="inlineStr">
        <is>
          <t>France / eurozone fragility</t>
        </is>
      </c>
      <c r="D74" s="9" t="inlineStr">
        <is>
          <t>3</t>
        </is>
      </c>
      <c r="E74" s="9" t="inlineStr">
        <is>
          <t>4</t>
        </is>
      </c>
      <c r="F74" s="9" t="inlineStr">
        <is>
          <t>Moderate</t>
        </is>
      </c>
      <c r="G74" s="9" t="inlineStr">
        <is>
          <t>4.0</t>
        </is>
      </c>
    </row>
    <row r="75">
      <c r="A75" s="9" t="inlineStr">
        <is>
          <t>2026-06-29</t>
        </is>
      </c>
      <c r="B75" s="9" t="inlineStr">
        <is>
          <t>s11_consumer_debt</t>
        </is>
      </c>
      <c r="C75" s="9" t="inlineStr">
        <is>
          <t>Hidden consumer debt</t>
        </is>
      </c>
      <c r="D75" s="9" t="inlineStr">
        <is>
          <t>2</t>
        </is>
      </c>
      <c r="E75" s="9" t="inlineStr">
        <is>
          <t>5</t>
        </is>
      </c>
      <c r="F75" s="9" t="inlineStr">
        <is>
          <t>Elevated</t>
        </is>
      </c>
      <c r="G75" s="9" t="inlineStr">
        <is>
          <t>5.0</t>
        </is>
      </c>
    </row>
    <row r="76">
      <c r="A76" s="9" t="inlineStr">
        <is>
          <t>2026-06-29</t>
        </is>
      </c>
      <c r="B76" s="9" t="inlineStr">
        <is>
          <t>s12_gold_dedollar</t>
        </is>
      </c>
      <c r="C76" s="9" t="inlineStr">
        <is>
          <t>Gold / de-dollarization</t>
        </is>
      </c>
      <c r="D76" s="9" t="inlineStr">
        <is>
          <t>3</t>
        </is>
      </c>
      <c r="E76" s="9" t="inlineStr">
        <is>
          <t>3</t>
        </is>
      </c>
      <c r="F76" s="9" t="inlineStr">
        <is>
          <t>Moderate</t>
        </is>
      </c>
      <c r="G76" s="9" t="inlineStr">
        <is>
          <t>3.0</t>
        </is>
      </c>
    </row>
    <row r="77">
      <c r="A77" s="9" t="inlineStr">
        <is>
          <t>2026-06-29</t>
        </is>
      </c>
      <c r="B77" s="9" t="inlineStr">
        <is>
          <t>s13_insurance</t>
        </is>
      </c>
      <c r="C77" s="9" t="inlineStr">
        <is>
          <t>Insurance retreat</t>
        </is>
      </c>
      <c r="D77" s="9" t="inlineStr">
        <is>
          <t>2</t>
        </is>
      </c>
      <c r="E77" s="9" t="inlineStr">
        <is>
          <t>5</t>
        </is>
      </c>
      <c r="F77" s="9" t="inlineStr">
        <is>
          <t>Elevated</t>
        </is>
      </c>
      <c r="G77" s="9" t="inlineStr">
        <is>
          <t>5.0</t>
        </is>
      </c>
    </row>
    <row r="78">
      <c r="A78" s="9" t="inlineStr">
        <is>
          <t>2026-06-29</t>
        </is>
      </c>
      <c r="B78" s="9" t="inlineStr">
        <is>
          <t>s14_pensions</t>
        </is>
      </c>
      <c r="C78" s="9" t="inlineStr">
        <is>
          <t>Pensions / demographics</t>
        </is>
      </c>
      <c r="D78" s="9" t="inlineStr">
        <is>
          <t>3</t>
        </is>
      </c>
      <c r="E78" s="9" t="inlineStr">
        <is>
          <t>4</t>
        </is>
      </c>
      <c r="F78" s="9" t="inlineStr">
        <is>
          <t>Moderate</t>
        </is>
      </c>
      <c r="G78" s="9" t="inlineStr">
        <is>
          <t>4.0</t>
        </is>
      </c>
    </row>
    <row r="79">
      <c r="A79" s="9" t="inlineStr">
        <is>
          <t>2026-06-29</t>
        </is>
      </c>
      <c r="B79" s="9" t="inlineStr">
        <is>
          <t>s15_ai_power</t>
        </is>
      </c>
      <c r="C79" s="9" t="inlineStr">
        <is>
          <t>AI power &amp; the grid bottleneck</t>
        </is>
      </c>
      <c r="D79" s="9" t="inlineStr">
        <is>
          <t>5</t>
        </is>
      </c>
      <c r="E79" s="9" t="inlineStr">
        <is>
          <t>6</t>
        </is>
      </c>
      <c r="F79" s="9" t="inlineStr">
        <is>
          <t>Elevated</t>
        </is>
      </c>
      <c r="G79" s="9" t="inlineStr">
        <is>
          <t>6.0</t>
        </is>
      </c>
    </row>
    <row r="80">
      <c r="A80" s="9" t="inlineStr">
        <is>
          <t>2026-06-29</t>
        </is>
      </c>
      <c r="B80" s="9" t="inlineStr">
        <is>
          <t>s16_copper</t>
        </is>
      </c>
      <c r="C80" s="9" t="inlineStr">
        <is>
          <t>Copper &amp; the electrification deficit</t>
        </is>
      </c>
      <c r="D80" s="9" t="inlineStr">
        <is>
          <t>5</t>
        </is>
      </c>
      <c r="E80" s="9" t="inlineStr">
        <is>
          <t>4</t>
        </is>
      </c>
      <c r="F80" s="9" t="inlineStr">
        <is>
          <t>Moderate</t>
        </is>
      </c>
      <c r="G80" s="9" t="inlineStr">
        <is>
          <t>4.25</t>
        </is>
      </c>
    </row>
    <row r="81">
      <c r="A81" s="9" t="inlineStr">
        <is>
          <t>2026-06-29</t>
        </is>
      </c>
      <c r="B81" s="9" t="inlineStr">
        <is>
          <t>s17_water</t>
        </is>
      </c>
      <c r="C81" s="9" t="inlineStr">
        <is>
          <t>Water - the underpriced input</t>
        </is>
      </c>
      <c r="D81" s="9" t="inlineStr">
        <is>
          <t>5</t>
        </is>
      </c>
      <c r="E81" s="9" t="inlineStr">
        <is>
          <t>4</t>
        </is>
      </c>
      <c r="F81" s="9" t="inlineStr">
        <is>
          <t>Moderate</t>
        </is>
      </c>
      <c r="G81" s="9" t="inlineStr">
        <is>
          <t>4.0</t>
        </is>
      </c>
    </row>
    <row r="82">
      <c r="A82" s="9" t="inlineStr">
        <is>
          <t>2026-06-29</t>
        </is>
      </c>
      <c r="B82" s="9" t="inlineStr">
        <is>
          <t>s18_food_fertilizer</t>
        </is>
      </c>
      <c r="C82" s="9" t="inlineStr">
        <is>
          <t>Food &amp; fertilizer fragility</t>
        </is>
      </c>
      <c r="D82" s="9" t="inlineStr">
        <is>
          <t>5</t>
        </is>
      </c>
      <c r="E82" s="9" t="inlineStr">
        <is>
          <t>6</t>
        </is>
      </c>
      <c r="F82" s="9" t="inlineStr">
        <is>
          <t>Elevated</t>
        </is>
      </c>
      <c r="G82" s="9" t="inlineStr">
        <is>
          <t>6.0</t>
        </is>
      </c>
    </row>
    <row r="83">
      <c r="A83" s="9" t="inlineStr">
        <is>
          <t>2026-06-29</t>
        </is>
      </c>
      <c r="B83" s="9" t="inlineStr">
        <is>
          <t>s19_lithography</t>
        </is>
      </c>
      <c r="C83" s="9" t="inlineStr">
        <is>
          <t>The lithography (ASML) chokepoint</t>
        </is>
      </c>
      <c r="D83" s="9" t="inlineStr">
        <is>
          <t>4</t>
        </is>
      </c>
      <c r="E83" s="9" t="inlineStr">
        <is>
          <t>5</t>
        </is>
      </c>
      <c r="F83" s="9" t="inlineStr">
        <is>
          <t>Elevated</t>
        </is>
      </c>
      <c r="G83" s="9" t="inlineStr">
        <is>
          <t>5.0</t>
        </is>
      </c>
    </row>
    <row r="84">
      <c r="A84" s="9" t="inlineStr">
        <is>
          <t>2026-06-29</t>
        </is>
      </c>
      <c r="B84" s="9" t="inlineStr">
        <is>
          <t>s20_sea_lanes</t>
        </is>
      </c>
      <c r="C84" s="9" t="inlineStr">
        <is>
          <t>Sea lanes &amp; undersea cables</t>
        </is>
      </c>
      <c r="D84" s="9" t="inlineStr">
        <is>
          <t>4</t>
        </is>
      </c>
      <c r="E84" s="9" t="inlineStr">
        <is>
          <t>6</t>
        </is>
      </c>
      <c r="F84" s="9" t="inlineStr">
        <is>
          <t>Elevated</t>
        </is>
      </c>
      <c r="G84" s="9" t="inlineStr">
        <is>
          <t>6.5</t>
        </is>
      </c>
    </row>
    <row r="85">
      <c r="A85" s="9" t="inlineStr">
        <is>
          <t>2026-06-29</t>
        </is>
      </c>
      <c r="B85" s="9" t="inlineStr">
        <is>
          <t>s21_clearinghouses</t>
        </is>
      </c>
      <c r="C85" s="9" t="inlineStr">
        <is>
          <t>Clearinghouses (financial chokepoint)</t>
        </is>
      </c>
      <c r="D85" s="9" t="inlineStr">
        <is>
          <t>1</t>
        </is>
      </c>
      <c r="E85" s="9" t="inlineStr">
        <is>
          <t>4</t>
        </is>
      </c>
      <c r="F85" s="9" t="inlineStr">
        <is>
          <t>Moderate</t>
        </is>
      </c>
      <c r="G85" s="9" t="inlineStr">
        <is>
          <t>4.0</t>
        </is>
      </c>
    </row>
    <row r="86">
      <c r="A86" s="9" t="inlineStr">
        <is>
          <t>2026-06-29</t>
        </is>
      </c>
      <c r="B86" s="9" t="inlineStr">
        <is>
          <t>s1_basis_trade</t>
        </is>
      </c>
      <c r="C86" s="9" t="inlineStr">
        <is>
          <t>Treasury basis trade (hidden leverage)</t>
        </is>
      </c>
      <c r="D86" s="9" t="inlineStr">
        <is>
          <t>1</t>
        </is>
      </c>
      <c r="E86" s="9" t="inlineStr">
        <is>
          <t>6</t>
        </is>
      </c>
      <c r="F86" s="9" t="inlineStr">
        <is>
          <t>Elevated</t>
        </is>
      </c>
      <c r="G86" s="9" t="inlineStr">
        <is>
          <t>5.5</t>
        </is>
      </c>
    </row>
    <row r="87">
      <c r="A87" s="9" t="inlineStr">
        <is>
          <t>2026-06-29</t>
        </is>
      </c>
      <c r="B87" s="9" t="inlineStr">
        <is>
          <t>s2_japan</t>
        </is>
      </c>
      <c r="C87" s="9" t="inlineStr">
        <is>
          <t>Japan fiscal / JGB / carry trade</t>
        </is>
      </c>
      <c r="D87" s="9" t="inlineStr">
        <is>
          <t>1</t>
        </is>
      </c>
      <c r="E87" s="9" t="inlineStr">
        <is>
          <t>6</t>
        </is>
      </c>
      <c r="F87" s="9" t="inlineStr">
        <is>
          <t>Elevated</t>
        </is>
      </c>
      <c r="G87" s="9" t="inlineStr">
        <is>
          <t>6.5</t>
        </is>
      </c>
    </row>
    <row r="88">
      <c r="A88" s="9" t="inlineStr">
        <is>
          <t>2026-06-29</t>
        </is>
      </c>
      <c r="B88" s="9" t="inlineStr">
        <is>
          <t>s3_private_credit</t>
        </is>
      </c>
      <c r="C88" s="9" t="inlineStr">
        <is>
          <t>Private credit's opaque expansion</t>
        </is>
      </c>
      <c r="D88" s="9" t="inlineStr">
        <is>
          <t>1</t>
        </is>
      </c>
      <c r="E88" s="9" t="inlineStr">
        <is>
          <t>6</t>
        </is>
      </c>
      <c r="F88" s="9" t="inlineStr">
        <is>
          <t>Elevated</t>
        </is>
      </c>
      <c r="G88" s="9" t="inlineStr">
        <is>
          <t>6.0</t>
        </is>
      </c>
    </row>
    <row r="89">
      <c r="A89" s="9" t="inlineStr">
        <is>
          <t>2026-06-29</t>
        </is>
      </c>
      <c r="B89" s="9" t="inlineStr">
        <is>
          <t>s4_dev_debt</t>
        </is>
      </c>
      <c r="C89" s="9" t="inlineStr">
        <is>
          <t>Developing-world debt crisis</t>
        </is>
      </c>
      <c r="D89" s="9" t="inlineStr">
        <is>
          <t>3</t>
        </is>
      </c>
      <c r="E89" s="9" t="inlineStr">
        <is>
          <t>5</t>
        </is>
      </c>
      <c r="F89" s="9" t="inlineStr">
        <is>
          <t>Elevated</t>
        </is>
      </c>
      <c r="G89" s="9" t="inlineStr">
        <is>
          <t>5.0</t>
        </is>
      </c>
    </row>
    <row r="90">
      <c r="A90" s="9" t="inlineStr">
        <is>
          <t>2026-06-29</t>
        </is>
      </c>
      <c r="B90" s="9" t="inlineStr">
        <is>
          <t>s5_china_deflation</t>
        </is>
      </c>
      <c r="C90" s="9" t="inlineStr">
        <is>
          <t>China's exported deflation</t>
        </is>
      </c>
      <c r="D90" s="9" t="inlineStr">
        <is>
          <t>4</t>
        </is>
      </c>
      <c r="E90" s="9" t="inlineStr">
        <is>
          <t>6</t>
        </is>
      </c>
      <c r="F90" s="9" t="inlineStr">
        <is>
          <t>Elevated</t>
        </is>
      </c>
      <c r="G90" s="9" t="inlineStr">
        <is>
          <t>5.5</t>
        </is>
      </c>
    </row>
    <row r="91">
      <c r="A91" s="9" t="inlineStr">
        <is>
          <t>2026-06-29</t>
        </is>
      </c>
      <c r="B91" s="9" t="inlineStr">
        <is>
          <t>s6_rare_earths</t>
        </is>
      </c>
      <c r="C91" s="9" t="inlineStr">
        <is>
          <t>Critical minerals as a weapon</t>
        </is>
      </c>
      <c r="D91" s="9" t="inlineStr">
        <is>
          <t>4</t>
        </is>
      </c>
      <c r="E91" s="9" t="inlineStr">
        <is>
          <t>6</t>
        </is>
      </c>
      <c r="F91" s="9" t="inlineStr">
        <is>
          <t>Elevated</t>
        </is>
      </c>
      <c r="G91" s="9" t="inlineStr">
        <is>
          <t>6.25</t>
        </is>
      </c>
    </row>
    <row r="92">
      <c r="A92" s="9" t="inlineStr">
        <is>
          <t>2026-06-29</t>
        </is>
      </c>
      <c r="B92" s="9" t="inlineStr">
        <is>
          <t>s7_stablecoins</t>
        </is>
      </c>
      <c r="C92" s="9" t="inlineStr">
        <is>
          <t>Stablecoins &amp; Treasury demand</t>
        </is>
      </c>
      <c r="D92" s="9" t="inlineStr">
        <is>
          <t>1</t>
        </is>
      </c>
      <c r="E92" s="9" t="inlineStr">
        <is>
          <t>4</t>
        </is>
      </c>
      <c r="F92" s="9" t="inlineStr">
        <is>
          <t>Moderate</t>
        </is>
      </c>
      <c r="G92" s="9" t="inlineStr">
        <is>
          <t>4.25</t>
        </is>
      </c>
    </row>
    <row r="93">
      <c r="A93" s="9" t="inlineStr">
        <is>
          <t>2026-06-29</t>
        </is>
      </c>
      <c r="B93" s="9" t="inlineStr">
        <is>
          <t>s8_ai_capex</t>
        </is>
      </c>
      <c r="C93" s="9" t="inlineStr">
        <is>
          <t>AI build-out circular financing</t>
        </is>
      </c>
      <c r="D93" s="9" t="inlineStr">
        <is>
          <t>2</t>
        </is>
      </c>
      <c r="E93" s="9" t="inlineStr">
        <is>
          <t>6</t>
        </is>
      </c>
      <c r="F93" s="9" t="inlineStr">
        <is>
          <t>Elevated</t>
        </is>
      </c>
      <c r="G93" s="9" t="inlineStr">
        <is>
          <t>6.5</t>
        </is>
      </c>
    </row>
    <row r="94">
      <c r="A94" s="9" t="inlineStr">
        <is>
          <t>2026-06-29</t>
        </is>
      </c>
      <c r="B94" s="9" t="inlineStr">
        <is>
          <t>s9_cre</t>
        </is>
      </c>
      <c r="C94" s="9" t="inlineStr">
        <is>
          <t>CRE maturity wall / regional banks</t>
        </is>
      </c>
      <c r="D94" s="9" t="inlineStr">
        <is>
          <t>2</t>
        </is>
      </c>
      <c r="E94" s="9" t="inlineStr">
        <is>
          <t>6</t>
        </is>
      </c>
      <c r="F94" s="9" t="inlineStr">
        <is>
          <t>Elevated</t>
        </is>
      </c>
      <c r="G94" s="9" t="inlineStr">
        <is>
          <t>5.75</t>
        </is>
      </c>
    </row>
    <row r="95">
      <c r="A95" s="9" t="inlineStr">
        <is>
          <t>2026-06-29</t>
        </is>
      </c>
      <c r="B95" s="9" t="inlineStr">
        <is>
          <t>s10_france</t>
        </is>
      </c>
      <c r="C95" s="9" t="inlineStr">
        <is>
          <t>France / eurozone fragility</t>
        </is>
      </c>
      <c r="D95" s="9" t="inlineStr">
        <is>
          <t>3</t>
        </is>
      </c>
      <c r="E95" s="9" t="inlineStr">
        <is>
          <t>4</t>
        </is>
      </c>
      <c r="F95" s="9" t="inlineStr">
        <is>
          <t>Moderate</t>
        </is>
      </c>
      <c r="G95" s="9" t="inlineStr">
        <is>
          <t>4.5</t>
        </is>
      </c>
    </row>
    <row r="96">
      <c r="A96" s="9" t="inlineStr">
        <is>
          <t>2026-06-29</t>
        </is>
      </c>
      <c r="B96" s="9" t="inlineStr">
        <is>
          <t>s11_consumer_debt</t>
        </is>
      </c>
      <c r="C96" s="9" t="inlineStr">
        <is>
          <t>Hidden consumer debt</t>
        </is>
      </c>
      <c r="D96" s="9" t="inlineStr">
        <is>
          <t>2</t>
        </is>
      </c>
      <c r="E96" s="9" t="inlineStr">
        <is>
          <t>6</t>
        </is>
      </c>
      <c r="F96" s="9" t="inlineStr">
        <is>
          <t>Elevated</t>
        </is>
      </c>
      <c r="G96" s="9" t="inlineStr">
        <is>
          <t>5.5</t>
        </is>
      </c>
    </row>
    <row r="97">
      <c r="A97" s="9" t="inlineStr">
        <is>
          <t>2026-06-29</t>
        </is>
      </c>
      <c r="B97" s="9" t="inlineStr">
        <is>
          <t>s12_gold_dedollar</t>
        </is>
      </c>
      <c r="C97" s="9" t="inlineStr">
        <is>
          <t>Gold / de-dollarization</t>
        </is>
      </c>
      <c r="D97" s="9" t="inlineStr">
        <is>
          <t>3</t>
        </is>
      </c>
      <c r="E97" s="9" t="inlineStr">
        <is>
          <t>4</t>
        </is>
      </c>
      <c r="F97" s="9" t="inlineStr">
        <is>
          <t>Moderate</t>
        </is>
      </c>
      <c r="G97" s="9" t="inlineStr">
        <is>
          <t>3.5</t>
        </is>
      </c>
    </row>
    <row r="98">
      <c r="A98" s="9" t="inlineStr">
        <is>
          <t>2026-06-29</t>
        </is>
      </c>
      <c r="B98" s="9" t="inlineStr">
        <is>
          <t>s13_insurance</t>
        </is>
      </c>
      <c r="C98" s="9" t="inlineStr">
        <is>
          <t>Insurance retreat</t>
        </is>
      </c>
      <c r="D98" s="9" t="inlineStr">
        <is>
          <t>2</t>
        </is>
      </c>
      <c r="E98" s="9" t="inlineStr">
        <is>
          <t>4</t>
        </is>
      </c>
      <c r="F98" s="9" t="inlineStr">
        <is>
          <t>Moderate</t>
        </is>
      </c>
      <c r="G98" s="9" t="inlineStr">
        <is>
          <t>4.5</t>
        </is>
      </c>
    </row>
    <row r="99">
      <c r="A99" s="9" t="inlineStr">
        <is>
          <t>2026-06-29</t>
        </is>
      </c>
      <c r="B99" s="9" t="inlineStr">
        <is>
          <t>s14_pensions</t>
        </is>
      </c>
      <c r="C99" s="9" t="inlineStr">
        <is>
          <t>Pensions / demographics</t>
        </is>
      </c>
      <c r="D99" s="9" t="inlineStr">
        <is>
          <t>3</t>
        </is>
      </c>
      <c r="E99" s="9" t="inlineStr">
        <is>
          <t>4</t>
        </is>
      </c>
      <c r="F99" s="9" t="inlineStr">
        <is>
          <t>Moderate</t>
        </is>
      </c>
      <c r="G99" s="9" t="inlineStr">
        <is>
          <t>4.25</t>
        </is>
      </c>
    </row>
    <row r="100">
      <c r="A100" s="9" t="inlineStr">
        <is>
          <t>2026-06-29</t>
        </is>
      </c>
      <c r="B100" s="9" t="inlineStr">
        <is>
          <t>s15_ai_power</t>
        </is>
      </c>
      <c r="C100" s="9" t="inlineStr">
        <is>
          <t>AI power &amp; the grid bottleneck</t>
        </is>
      </c>
      <c r="D100" s="9" t="inlineStr">
        <is>
          <t>5</t>
        </is>
      </c>
      <c r="E100" s="9" t="inlineStr">
        <is>
          <t>6</t>
        </is>
      </c>
      <c r="F100" s="9" t="inlineStr">
        <is>
          <t>Elevated</t>
        </is>
      </c>
      <c r="G100" s="9" t="inlineStr">
        <is>
          <t>6.5</t>
        </is>
      </c>
    </row>
    <row r="101">
      <c r="A101" s="9" t="inlineStr">
        <is>
          <t>2026-06-29</t>
        </is>
      </c>
      <c r="B101" s="9" t="inlineStr">
        <is>
          <t>s16_copper</t>
        </is>
      </c>
      <c r="C101" s="9" t="inlineStr">
        <is>
          <t>Copper &amp; the electrification deficit</t>
        </is>
      </c>
      <c r="D101" s="9" t="inlineStr">
        <is>
          <t>5</t>
        </is>
      </c>
      <c r="E101" s="9" t="inlineStr">
        <is>
          <t>4</t>
        </is>
      </c>
      <c r="F101" s="9" t="inlineStr">
        <is>
          <t>Moderate</t>
        </is>
      </c>
      <c r="G101" s="9" t="inlineStr">
        <is>
          <t>4.5</t>
        </is>
      </c>
    </row>
    <row r="102">
      <c r="A102" s="9" t="inlineStr">
        <is>
          <t>2026-06-29</t>
        </is>
      </c>
      <c r="B102" s="9" t="inlineStr">
        <is>
          <t>s17_water</t>
        </is>
      </c>
      <c r="C102" s="9" t="inlineStr">
        <is>
          <t>Water - the underpriced input</t>
        </is>
      </c>
      <c r="D102" s="9" t="inlineStr">
        <is>
          <t>5</t>
        </is>
      </c>
      <c r="E102" s="9" t="inlineStr">
        <is>
          <t>5</t>
        </is>
      </c>
      <c r="F102" s="9" t="inlineStr">
        <is>
          <t>Elevated</t>
        </is>
      </c>
      <c r="G102" s="9" t="inlineStr">
        <is>
          <t>5.25</t>
        </is>
      </c>
    </row>
    <row r="103">
      <c r="A103" s="9" t="inlineStr">
        <is>
          <t>2026-06-29</t>
        </is>
      </c>
      <c r="B103" s="9" t="inlineStr">
        <is>
          <t>s18_food_fertilizer</t>
        </is>
      </c>
      <c r="C103" s="9" t="inlineStr">
        <is>
          <t>Food &amp; fertilizer fragility</t>
        </is>
      </c>
      <c r="D103" s="9" t="inlineStr">
        <is>
          <t>5</t>
        </is>
      </c>
      <c r="E103" s="9" t="inlineStr">
        <is>
          <t>6</t>
        </is>
      </c>
      <c r="F103" s="9" t="inlineStr">
        <is>
          <t>Elevated</t>
        </is>
      </c>
      <c r="G103" s="9" t="inlineStr">
        <is>
          <t>6.0</t>
        </is>
      </c>
    </row>
    <row r="104">
      <c r="A104" s="9" t="inlineStr">
        <is>
          <t>2026-06-29</t>
        </is>
      </c>
      <c r="B104" s="9" t="inlineStr">
        <is>
          <t>s19_lithography</t>
        </is>
      </c>
      <c r="C104" s="9" t="inlineStr">
        <is>
          <t>The lithography (ASML) chokepoint</t>
        </is>
      </c>
      <c r="D104" s="9" t="inlineStr">
        <is>
          <t>4</t>
        </is>
      </c>
      <c r="E104" s="9" t="inlineStr">
        <is>
          <t>5</t>
        </is>
      </c>
      <c r="F104" s="9" t="inlineStr">
        <is>
          <t>Elevated</t>
        </is>
      </c>
      <c r="G104" s="9" t="inlineStr">
        <is>
          <t>5.25</t>
        </is>
      </c>
    </row>
    <row r="105">
      <c r="A105" s="9" t="inlineStr">
        <is>
          <t>2026-06-29</t>
        </is>
      </c>
      <c r="B105" s="9" t="inlineStr">
        <is>
          <t>s20_sea_lanes</t>
        </is>
      </c>
      <c r="C105" s="9" t="inlineStr">
        <is>
          <t>Sea lanes &amp; undersea cables</t>
        </is>
      </c>
      <c r="D105" s="9" t="inlineStr">
        <is>
          <t>4</t>
        </is>
      </c>
      <c r="E105" s="9" t="inlineStr">
        <is>
          <t>6</t>
        </is>
      </c>
      <c r="F105" s="9" t="inlineStr">
        <is>
          <t>Elevated</t>
        </is>
      </c>
      <c r="G105" s="9" t="inlineStr">
        <is>
          <t>6.0</t>
        </is>
      </c>
    </row>
    <row r="106">
      <c r="A106" s="9" t="inlineStr">
        <is>
          <t>2026-06-29</t>
        </is>
      </c>
      <c r="B106" s="9" t="inlineStr">
        <is>
          <t>s21_clearinghouses</t>
        </is>
      </c>
      <c r="C106" s="9" t="inlineStr">
        <is>
          <t>Clearinghouses (financial chokepoint)</t>
        </is>
      </c>
      <c r="D106" s="9" t="inlineStr">
        <is>
          <t>1</t>
        </is>
      </c>
      <c r="E106" s="9" t="inlineStr">
        <is>
          <t>4</t>
        </is>
      </c>
      <c r="F106" s="9" t="inlineStr">
        <is>
          <t>Moderate</t>
        </is>
      </c>
      <c r="G106" s="9" t="inlineStr">
        <is>
          <t>4.25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0" t="inlineStr">
        <is>
          <t>GLOBAL MACRO RISK TRACKER - methodology</t>
        </is>
      </c>
    </row>
    <row r="2">
      <c r="A2" s="11" t="inlineStr"/>
    </row>
    <row r="3">
      <c r="A3" s="11" t="inlineStr">
        <is>
          <t>Each story has a human-set base_level (1-10). Each indicator is classified into a band:</t>
        </is>
      </c>
    </row>
    <row r="4">
      <c r="A4" s="11" t="inlineStr">
        <is>
          <t>0 = benign, 1 = watch, 2 = stress, using its direction and the Good/Warn thresholds.</t>
        </is>
      </c>
    </row>
    <row r="5">
      <c r="A5" s="11" t="inlineStr">
        <is>
          <t>delta = weight * (current_band - baseline_band) / 2.  Level = clamp(base_level + sum(deltas), 1, 10).</t>
        </is>
      </c>
    </row>
    <row r="6">
      <c r="A6" s="11" t="inlineStr">
        <is>
          <t>Live data nudges the analyst anchor; every move is visible on the Indicators tab.</t>
        </is>
      </c>
    </row>
    <row r="7">
      <c r="A7" s="11" t="inlineStr">
        <is>
          <t>Blue cells on the Indicators tab are editable inputs (update them, or let the script do it).</t>
        </is>
      </c>
    </row>
    <row r="8">
      <c r="A8" s="11" t="inlineStr"/>
    </row>
    <row r="9">
      <c r="A9" s="11" t="inlineStr">
        <is>
          <t>Sources: fred:CODE / fred_spread:A:B (keyless FRED CSV), market:SYMBOL (Yahoo), manual (judgement / slow data).</t>
        </is>
      </c>
    </row>
    <row r="10">
      <c r="A10" s="11" t="inlineStr">
        <is>
          <t>Cadence varies: market indicators move daily; fundamentals are monthly/quarterly; policy items are event-driven.</t>
        </is>
      </c>
    </row>
    <row r="11">
      <c r="A11" s="11" t="inlineStr">
        <is>
          <t>This is informational analysis, not investment, legal, or financial advice.</t>
        </is>
      </c>
    </row>
    <row r="12">
      <c r="A12" s="11" t="inlineStr"/>
    </row>
    <row r="13">
      <c r="A13" s="10" t="inlineStr">
        <is>
          <t>--- Daily narrative (2026-06-29) ---</t>
        </is>
      </c>
    </row>
    <row r="14">
      <c r="A14" s="12" t="inlineStr">
        <is>
          <t># EOD Macro Risk Brief – 29 June 2026</t>
        </is>
      </c>
    </row>
    <row r="15">
      <c r="A15" s="12" t="inlineStr"/>
    </row>
    <row r="16">
      <c r="A16" s="12" t="inlineStr">
        <is>
          <t>**Headline:** Overall risk steady at 5.2, but four financial-stability stories escalated to Elevated while water stress intensified across supply chains.</t>
        </is>
      </c>
    </row>
    <row r="17">
      <c r="A17" s="12" t="inlineStr"/>
    </row>
    <row r="18">
      <c r="A18" s="12" t="inlineStr">
        <is>
          <t>**Changes:**</t>
        </is>
      </c>
    </row>
    <row r="19">
      <c r="A19" s="12" t="inlineStr"/>
    </row>
    <row r="20">
      <c r="A20" s="12" t="inlineStr">
        <is>
          <t>• **Treasury basis trade** (5→6): SEC central-clearing timeline slipping; hidden leverage in cash-futures arbitrage now poses acute refinancing risk if rates spike.</t>
        </is>
      </c>
    </row>
    <row r="21">
      <c r="A21" s="12" t="inlineStr"/>
    </row>
    <row r="22">
      <c r="A22" s="12" t="inlineStr">
        <is>
          <t>• **Private credit expansion** (5→6): Widespread redemption gates now active in large funds; liquidity mismatch could force fire sales if capital calls accelerate.</t>
        </is>
      </c>
    </row>
    <row r="23">
      <c r="A23" s="12" t="inlineStr"/>
    </row>
    <row r="24">
      <c r="A24" s="12" t="inlineStr">
        <is>
          <t>• **CRE maturity wall** (5→6): Regional-bank stress clusters emerging; concentration risk to smaller lenders exposed to office/retail rollovers into higher-rate environment.</t>
        </is>
      </c>
    </row>
    <row r="25">
      <c r="A25" s="12" t="inlineStr"/>
    </row>
    <row r="26">
      <c r="A26" s="12" t="inlineStr">
        <is>
          <t>• **Hidden consumer debt** (5→6): Subprime auto 60+ delinquencies at 6.8%; downstream strain on auto-loan securitization and regional bank credit quality.</t>
        </is>
      </c>
    </row>
    <row r="27">
      <c r="A27" s="12" t="inlineStr"/>
    </row>
    <row r="28">
      <c r="A28" s="12" t="inlineStr">
        <is>
          <t>• **Water – underpriced input** (4→5): Acute drought in chip/farm hubs; transboundary disputes (India-Pakistan Indus) and reservoir stress create tail risk to semiconductor and agricultural output.</t>
        </is>
      </c>
    </row>
    <row r="29">
      <c r="A29" s="12" t="inlineStr"/>
    </row>
    <row r="30">
      <c r="A30" s="12" t="inlineStr">
        <is>
          <t>• **Gold/de-dollarization** (3→4): Reserve-weaponization rhetoric escalating; long-term confidence erosion in dollar settlement.</t>
        </is>
      </c>
    </row>
    <row r="31">
      <c r="A31" s="12" t="inlineStr"/>
    </row>
    <row r="32">
      <c r="A32" s="12" t="inlineStr">
        <is>
          <t>• **Insurance retreat** (5→4): Catastrophe losses below normal; risk pricing may soften prematurely.</t>
        </is>
      </c>
    </row>
    <row r="33">
      <c r="A33" s="12" t="inlineStr"/>
    </row>
    <row r="34">
      <c r="A34" s="12" t="inlineStr">
        <is>
          <t>**Watch:** Private credit redemption gates—gateway to systemic liquidity stress.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2026-06-29T17:42:54Z</dcterms:created>
  <dcterms:modified xsi:type="dcterms:W3CDTF">2026-06-29T17:42:54Z</dcterms:modified>
</cp:coreProperties>
</file>