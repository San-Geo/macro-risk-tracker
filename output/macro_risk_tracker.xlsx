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2026-06-29  -  generated 2026-06-29 09:27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1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1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1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2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2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2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3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3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3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3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3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3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3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Set 1</t>
        </is>
      </c>
      <c r="F27" s="6">
        <f>ROUND(AVERAGEIF($C$5:$C$25,1,$F$5:$F$25),1)</f>
        <v/>
      </c>
    </row>
    <row r="28">
      <c r="A28" s="6" t="inlineStr">
        <is>
          <t>Aggregate - Set 2</t>
        </is>
      </c>
      <c r="F28" s="6">
        <f>ROUND(AVERAGEIF($C$5:$C$25,2,$F$5:$F$25),1)</f>
        <v/>
      </c>
    </row>
    <row r="29">
      <c r="A29" s="6" t="inlineStr">
        <is>
          <t>Aggregate - Set 3</t>
        </is>
      </c>
      <c r="F29" s="6">
        <f>ROUND(AVERAGEIF($C$5:$C$25,3,$F$5:$F$25),1)</f>
        <v/>
      </c>
    </row>
    <row r="30">
      <c r="A30" s="6" t="inlineStr">
        <is>
          <t>Aggregate - Overall</t>
        </is>
      </c>
      <c r="F30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161.87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6.7928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4064.3999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6.18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69.95999999999999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18.46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1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1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1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2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2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2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3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3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3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3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3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3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3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1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1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1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2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2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2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3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3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3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3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3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3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3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(2026-06-29) ---</t>
        </is>
      </c>
    </row>
    <row r="14">
      <c r="A14" s="12" t="inlineStr">
        <is>
          <t># EOD MACRO-RISK BRIEF | 29 JUN 2026</t>
        </is>
      </c>
    </row>
    <row r="15">
      <c r="A15" s="12" t="inlineStr"/>
    </row>
    <row r="16">
      <c r="A16" s="12" t="inlineStr">
        <is>
          <t>**Overall risk stable at 5.0, but 14 Elevated-level stories remain embedded across financial, commodity, and infrastructure domains.**</t>
        </is>
      </c>
    </row>
    <row r="17">
      <c r="A17" s="12" t="inlineStr"/>
    </row>
    <row r="18">
      <c r="A18" s="12" t="inlineStr">
        <is>
          <t>• **Sea lanes &amp; undersea cables** declined from 7 to 6 (Elevated) on WTI crude falling to $69.96/bbl, easing shipping-cost pressure but leaving geopolitical infrastructure vulnerability intact.</t>
        </is>
      </c>
    </row>
    <row r="19">
      <c r="A19" s="12" t="inlineStr"/>
    </row>
    <row r="20">
      <c r="A20" s="12" t="inlineStr">
        <is>
          <t>**Highest priority:** Japan fiscal/JGB/carry trade and China's exported deflation both at level 6—synchronized deflationary export pressure and BoJ policy constraints pose correlated shock risk to global rates and FX stability.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2026-06-29T09:27:15Z</dcterms:created>
  <dcterms:modified xsi:type="dcterms:W3CDTF">2026-06-29T09:27:15Z</dcterms:modified>
</cp:coreProperties>
</file>